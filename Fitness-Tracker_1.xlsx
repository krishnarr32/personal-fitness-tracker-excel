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ikr\Downloads\"/>
    </mc:Choice>
  </mc:AlternateContent>
  <xr:revisionPtr revIDLastSave="0" documentId="13_ncr:1_{A254FA88-EA82-4720-8286-9AAED14C0416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Daily Analysis" sheetId="1" r:id="rId1"/>
    <sheet name="Gym" sheetId="2" r:id="rId2"/>
    <sheet name="Workout" sheetId="3" r:id="rId3"/>
    <sheet name="Run" sheetId="4" r:id="rId4"/>
    <sheet name="Walk" sheetId="5" r:id="rId5"/>
    <sheet name="Swim" sheetId="6" r:id="rId6"/>
    <sheet name="Cycle" sheetId="7" r:id="rId7"/>
    <sheet name="Tennis" sheetId="8" r:id="rId8"/>
    <sheet name="Sauna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9" l="1"/>
  <c r="E5" i="9"/>
  <c r="B5" i="9"/>
  <c r="B7" i="9" s="1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B6" i="8"/>
  <c r="B5" i="8"/>
  <c r="E62" i="7"/>
  <c r="D62" i="7"/>
  <c r="E61" i="7"/>
  <c r="D61" i="7"/>
  <c r="E60" i="7"/>
  <c r="D60" i="7"/>
  <c r="E59" i="7"/>
  <c r="D59" i="7"/>
  <c r="E58" i="7"/>
  <c r="D58" i="7"/>
  <c r="E57" i="7"/>
  <c r="D57" i="7"/>
  <c r="E56" i="7"/>
  <c r="D56" i="7"/>
  <c r="E55" i="7"/>
  <c r="D55" i="7"/>
  <c r="E54" i="7"/>
  <c r="D54" i="7"/>
  <c r="E53" i="7"/>
  <c r="D53" i="7"/>
  <c r="E52" i="7"/>
  <c r="D52" i="7"/>
  <c r="E51" i="7"/>
  <c r="D51" i="7"/>
  <c r="E50" i="7"/>
  <c r="D50" i="7"/>
  <c r="E49" i="7"/>
  <c r="D49" i="7"/>
  <c r="E48" i="7"/>
  <c r="D48" i="7"/>
  <c r="E47" i="7"/>
  <c r="D47" i="7"/>
  <c r="E46" i="7"/>
  <c r="D46" i="7"/>
  <c r="E45" i="7"/>
  <c r="D45" i="7"/>
  <c r="E44" i="7"/>
  <c r="D44" i="7"/>
  <c r="E43" i="7"/>
  <c r="D43" i="7"/>
  <c r="E42" i="7"/>
  <c r="D42" i="7"/>
  <c r="E41" i="7"/>
  <c r="D41" i="7"/>
  <c r="E40" i="7"/>
  <c r="D40" i="7"/>
  <c r="E39" i="7"/>
  <c r="D39" i="7"/>
  <c r="E38" i="7"/>
  <c r="D38" i="7"/>
  <c r="E37" i="7"/>
  <c r="D37" i="7"/>
  <c r="E36" i="7"/>
  <c r="D36" i="7"/>
  <c r="E35" i="7"/>
  <c r="D35" i="7"/>
  <c r="E34" i="7"/>
  <c r="D34" i="7"/>
  <c r="E33" i="7"/>
  <c r="D33" i="7"/>
  <c r="E32" i="7"/>
  <c r="D32" i="7"/>
  <c r="E31" i="7"/>
  <c r="D31" i="7"/>
  <c r="E30" i="7"/>
  <c r="D30" i="7"/>
  <c r="E29" i="7"/>
  <c r="D29" i="7"/>
  <c r="E28" i="7"/>
  <c r="D28" i="7"/>
  <c r="E27" i="7"/>
  <c r="D27" i="7"/>
  <c r="E26" i="7"/>
  <c r="D26" i="7"/>
  <c r="E25" i="7"/>
  <c r="D25" i="7"/>
  <c r="E24" i="7"/>
  <c r="D24" i="7"/>
  <c r="E23" i="7"/>
  <c r="D23" i="7"/>
  <c r="E22" i="7"/>
  <c r="D22" i="7"/>
  <c r="E21" i="7"/>
  <c r="D21" i="7"/>
  <c r="E20" i="7"/>
  <c r="D20" i="7"/>
  <c r="E19" i="7"/>
  <c r="D19" i="7"/>
  <c r="E18" i="7"/>
  <c r="D18" i="7"/>
  <c r="E17" i="7"/>
  <c r="D17" i="7"/>
  <c r="E16" i="7"/>
  <c r="D16" i="7"/>
  <c r="E15" i="7"/>
  <c r="D15" i="7"/>
  <c r="E5" i="7" s="1"/>
  <c r="E14" i="7"/>
  <c r="D14" i="7"/>
  <c r="E13" i="7"/>
  <c r="D13" i="7"/>
  <c r="E6" i="7"/>
  <c r="B6" i="7"/>
  <c r="B5" i="7"/>
  <c r="E62" i="6"/>
  <c r="D62" i="6"/>
  <c r="E61" i="6"/>
  <c r="D61" i="6"/>
  <c r="E60" i="6"/>
  <c r="D60" i="6"/>
  <c r="E59" i="6"/>
  <c r="D59" i="6"/>
  <c r="E58" i="6"/>
  <c r="D58" i="6"/>
  <c r="E57" i="6"/>
  <c r="D57" i="6"/>
  <c r="E56" i="6"/>
  <c r="D56" i="6"/>
  <c r="E55" i="6"/>
  <c r="D55" i="6"/>
  <c r="E54" i="6"/>
  <c r="D54" i="6"/>
  <c r="E53" i="6"/>
  <c r="D53" i="6"/>
  <c r="E52" i="6"/>
  <c r="D52" i="6"/>
  <c r="E51" i="6"/>
  <c r="D51" i="6"/>
  <c r="E50" i="6"/>
  <c r="D50" i="6"/>
  <c r="E49" i="6"/>
  <c r="D49" i="6"/>
  <c r="E48" i="6"/>
  <c r="D48" i="6"/>
  <c r="E47" i="6"/>
  <c r="D47" i="6"/>
  <c r="E46" i="6"/>
  <c r="D46" i="6"/>
  <c r="E45" i="6"/>
  <c r="D45" i="6"/>
  <c r="E44" i="6"/>
  <c r="D44" i="6"/>
  <c r="E43" i="6"/>
  <c r="D43" i="6"/>
  <c r="E42" i="6"/>
  <c r="D42" i="6"/>
  <c r="E41" i="6"/>
  <c r="D41" i="6"/>
  <c r="E40" i="6"/>
  <c r="D40" i="6"/>
  <c r="E39" i="6"/>
  <c r="D39" i="6"/>
  <c r="E38" i="6"/>
  <c r="D38" i="6"/>
  <c r="E37" i="6"/>
  <c r="D37" i="6"/>
  <c r="E36" i="6"/>
  <c r="D36" i="6"/>
  <c r="E35" i="6"/>
  <c r="D35" i="6"/>
  <c r="E34" i="6"/>
  <c r="D34" i="6"/>
  <c r="E33" i="6"/>
  <c r="D33" i="6"/>
  <c r="E32" i="6"/>
  <c r="D32" i="6"/>
  <c r="E31" i="6"/>
  <c r="D31" i="6"/>
  <c r="E30" i="6"/>
  <c r="D30" i="6"/>
  <c r="E29" i="6"/>
  <c r="D29" i="6"/>
  <c r="E28" i="6"/>
  <c r="D28" i="6"/>
  <c r="E27" i="6"/>
  <c r="D27" i="6"/>
  <c r="E26" i="6"/>
  <c r="D26" i="6"/>
  <c r="E25" i="6"/>
  <c r="D25" i="6"/>
  <c r="E24" i="6"/>
  <c r="D24" i="6"/>
  <c r="E23" i="6"/>
  <c r="D23" i="6"/>
  <c r="E22" i="6"/>
  <c r="D22" i="6"/>
  <c r="E21" i="6"/>
  <c r="D21" i="6"/>
  <c r="E20" i="6"/>
  <c r="D20" i="6"/>
  <c r="E19" i="6"/>
  <c r="D19" i="6"/>
  <c r="E18" i="6"/>
  <c r="D18" i="6"/>
  <c r="E17" i="6"/>
  <c r="D17" i="6"/>
  <c r="E16" i="6"/>
  <c r="D16" i="6"/>
  <c r="E15" i="6"/>
  <c r="D15" i="6"/>
  <c r="E14" i="6"/>
  <c r="D14" i="6"/>
  <c r="E13" i="6"/>
  <c r="D13" i="6"/>
  <c r="E6" i="6"/>
  <c r="B6" i="6"/>
  <c r="E5" i="6"/>
  <c r="B5" i="6"/>
  <c r="F62" i="5"/>
  <c r="E62" i="5"/>
  <c r="D62" i="5"/>
  <c r="F61" i="5"/>
  <c r="E61" i="5"/>
  <c r="D61" i="5"/>
  <c r="F60" i="5"/>
  <c r="E60" i="5"/>
  <c r="D60" i="5"/>
  <c r="F59" i="5"/>
  <c r="E59" i="5"/>
  <c r="D59" i="5"/>
  <c r="F58" i="5"/>
  <c r="E58" i="5"/>
  <c r="D58" i="5"/>
  <c r="F57" i="5"/>
  <c r="E57" i="5"/>
  <c r="D57" i="5"/>
  <c r="F56" i="5"/>
  <c r="E56" i="5"/>
  <c r="D56" i="5"/>
  <c r="F55" i="5"/>
  <c r="E55" i="5"/>
  <c r="D55" i="5"/>
  <c r="F54" i="5"/>
  <c r="E54" i="5"/>
  <c r="D54" i="5"/>
  <c r="F53" i="5"/>
  <c r="E53" i="5"/>
  <c r="D53" i="5"/>
  <c r="F52" i="5"/>
  <c r="E52" i="5"/>
  <c r="D52" i="5"/>
  <c r="F51" i="5"/>
  <c r="E51" i="5"/>
  <c r="D51" i="5"/>
  <c r="F50" i="5"/>
  <c r="E50" i="5"/>
  <c r="D50" i="5"/>
  <c r="F49" i="5"/>
  <c r="E49" i="5"/>
  <c r="D49" i="5"/>
  <c r="F48" i="5"/>
  <c r="E48" i="5"/>
  <c r="D48" i="5"/>
  <c r="F47" i="5"/>
  <c r="E47" i="5"/>
  <c r="D47" i="5"/>
  <c r="F46" i="5"/>
  <c r="E46" i="5"/>
  <c r="D46" i="5"/>
  <c r="F45" i="5"/>
  <c r="E45" i="5"/>
  <c r="D45" i="5"/>
  <c r="F44" i="5"/>
  <c r="E44" i="5"/>
  <c r="D44" i="5"/>
  <c r="F43" i="5"/>
  <c r="E43" i="5"/>
  <c r="D43" i="5"/>
  <c r="F42" i="5"/>
  <c r="E42" i="5"/>
  <c r="D42" i="5"/>
  <c r="F41" i="5"/>
  <c r="E41" i="5"/>
  <c r="D41" i="5"/>
  <c r="F40" i="5"/>
  <c r="E40" i="5"/>
  <c r="D40" i="5"/>
  <c r="F39" i="5"/>
  <c r="E39" i="5"/>
  <c r="D39" i="5"/>
  <c r="F38" i="5"/>
  <c r="E38" i="5"/>
  <c r="D38" i="5"/>
  <c r="F37" i="5"/>
  <c r="E37" i="5"/>
  <c r="D37" i="5"/>
  <c r="F36" i="5"/>
  <c r="E36" i="5"/>
  <c r="D36" i="5"/>
  <c r="F35" i="5"/>
  <c r="E35" i="5"/>
  <c r="D35" i="5"/>
  <c r="F34" i="5"/>
  <c r="E34" i="5"/>
  <c r="D34" i="5"/>
  <c r="F33" i="5"/>
  <c r="E33" i="5"/>
  <c r="D33" i="5"/>
  <c r="F32" i="5"/>
  <c r="E32" i="5"/>
  <c r="D32" i="5"/>
  <c r="F31" i="5"/>
  <c r="E31" i="5"/>
  <c r="D31" i="5"/>
  <c r="F30" i="5"/>
  <c r="E30" i="5"/>
  <c r="D30" i="5"/>
  <c r="F29" i="5"/>
  <c r="E29" i="5"/>
  <c r="D29" i="5"/>
  <c r="F28" i="5"/>
  <c r="E28" i="5"/>
  <c r="D28" i="5"/>
  <c r="F27" i="5"/>
  <c r="E27" i="5"/>
  <c r="D27" i="5"/>
  <c r="F26" i="5"/>
  <c r="E26" i="5"/>
  <c r="D26" i="5"/>
  <c r="F25" i="5"/>
  <c r="E25" i="5"/>
  <c r="D25" i="5"/>
  <c r="F24" i="5"/>
  <c r="E24" i="5"/>
  <c r="D24" i="5"/>
  <c r="F23" i="5"/>
  <c r="E23" i="5"/>
  <c r="D23" i="5"/>
  <c r="F22" i="5"/>
  <c r="E22" i="5"/>
  <c r="D22" i="5"/>
  <c r="F21" i="5"/>
  <c r="E21" i="5"/>
  <c r="D21" i="5"/>
  <c r="F20" i="5"/>
  <c r="E20" i="5"/>
  <c r="D20" i="5"/>
  <c r="F19" i="5"/>
  <c r="E19" i="5"/>
  <c r="D19" i="5"/>
  <c r="F18" i="5"/>
  <c r="E18" i="5"/>
  <c r="D18" i="5"/>
  <c r="F17" i="5"/>
  <c r="E17" i="5"/>
  <c r="D17" i="5"/>
  <c r="F16" i="5"/>
  <c r="E16" i="5"/>
  <c r="D16" i="5"/>
  <c r="F15" i="5"/>
  <c r="E15" i="5"/>
  <c r="D15" i="5"/>
  <c r="F14" i="5"/>
  <c r="E14" i="5"/>
  <c r="D14" i="5"/>
  <c r="F13" i="5"/>
  <c r="K28" i="1" s="1"/>
  <c r="E13" i="5"/>
  <c r="D13" i="5"/>
  <c r="E7" i="5" s="1"/>
  <c r="E6" i="5"/>
  <c r="B6" i="5"/>
  <c r="E5" i="5"/>
  <c r="B5" i="5"/>
  <c r="F62" i="4"/>
  <c r="E62" i="4"/>
  <c r="D62" i="4"/>
  <c r="F61" i="4"/>
  <c r="E61" i="4"/>
  <c r="D61" i="4"/>
  <c r="F60" i="4"/>
  <c r="E60" i="4"/>
  <c r="D60" i="4"/>
  <c r="F59" i="4"/>
  <c r="E59" i="4"/>
  <c r="D59" i="4"/>
  <c r="F58" i="4"/>
  <c r="E58" i="4"/>
  <c r="D58" i="4"/>
  <c r="F57" i="4"/>
  <c r="E57" i="4"/>
  <c r="D57" i="4"/>
  <c r="F56" i="4"/>
  <c r="E56" i="4"/>
  <c r="D56" i="4"/>
  <c r="F55" i="4"/>
  <c r="E55" i="4"/>
  <c r="D55" i="4"/>
  <c r="F54" i="4"/>
  <c r="E54" i="4"/>
  <c r="D54" i="4"/>
  <c r="F53" i="4"/>
  <c r="E53" i="4"/>
  <c r="D53" i="4"/>
  <c r="F52" i="4"/>
  <c r="E52" i="4"/>
  <c r="D52" i="4"/>
  <c r="F51" i="4"/>
  <c r="E51" i="4"/>
  <c r="D51" i="4"/>
  <c r="F50" i="4"/>
  <c r="E50" i="4"/>
  <c r="D50" i="4"/>
  <c r="F49" i="4"/>
  <c r="E49" i="4"/>
  <c r="D49" i="4"/>
  <c r="F48" i="4"/>
  <c r="E48" i="4"/>
  <c r="D48" i="4"/>
  <c r="F47" i="4"/>
  <c r="E47" i="4"/>
  <c r="D47" i="4"/>
  <c r="F46" i="4"/>
  <c r="E46" i="4"/>
  <c r="D46" i="4"/>
  <c r="F45" i="4"/>
  <c r="E45" i="4"/>
  <c r="D45" i="4"/>
  <c r="F44" i="4"/>
  <c r="E44" i="4"/>
  <c r="D44" i="4"/>
  <c r="F43" i="4"/>
  <c r="E43" i="4"/>
  <c r="D43" i="4"/>
  <c r="F42" i="4"/>
  <c r="E42" i="4"/>
  <c r="D42" i="4"/>
  <c r="F41" i="4"/>
  <c r="E41" i="4"/>
  <c r="D41" i="4"/>
  <c r="F40" i="4"/>
  <c r="E40" i="4"/>
  <c r="D40" i="4"/>
  <c r="F39" i="4"/>
  <c r="E39" i="4"/>
  <c r="D39" i="4"/>
  <c r="F38" i="4"/>
  <c r="E38" i="4"/>
  <c r="D38" i="4"/>
  <c r="F37" i="4"/>
  <c r="E37" i="4"/>
  <c r="D37" i="4"/>
  <c r="F36" i="4"/>
  <c r="E36" i="4"/>
  <c r="D36" i="4"/>
  <c r="F35" i="4"/>
  <c r="E35" i="4"/>
  <c r="D35" i="4"/>
  <c r="F34" i="4"/>
  <c r="E34" i="4"/>
  <c r="D34" i="4"/>
  <c r="F33" i="4"/>
  <c r="E33" i="4"/>
  <c r="D33" i="4"/>
  <c r="F32" i="4"/>
  <c r="E32" i="4"/>
  <c r="D32" i="4"/>
  <c r="F31" i="4"/>
  <c r="E31" i="4"/>
  <c r="D31" i="4"/>
  <c r="F30" i="4"/>
  <c r="E30" i="4"/>
  <c r="D30" i="4"/>
  <c r="F29" i="4"/>
  <c r="E29" i="4"/>
  <c r="D29" i="4"/>
  <c r="F28" i="4"/>
  <c r="E28" i="4"/>
  <c r="D28" i="4"/>
  <c r="F27" i="4"/>
  <c r="E27" i="4"/>
  <c r="D27" i="4"/>
  <c r="F26" i="4"/>
  <c r="E26" i="4"/>
  <c r="D26" i="4"/>
  <c r="F25" i="4"/>
  <c r="E25" i="4"/>
  <c r="D25" i="4"/>
  <c r="F24" i="4"/>
  <c r="E24" i="4"/>
  <c r="D24" i="4"/>
  <c r="F23" i="4"/>
  <c r="E23" i="4"/>
  <c r="D23" i="4"/>
  <c r="F22" i="4"/>
  <c r="E22" i="4"/>
  <c r="D22" i="4"/>
  <c r="F21" i="4"/>
  <c r="E21" i="4"/>
  <c r="D21" i="4"/>
  <c r="F20" i="4"/>
  <c r="E20" i="4"/>
  <c r="D20" i="4"/>
  <c r="F19" i="4"/>
  <c r="E19" i="4"/>
  <c r="D19" i="4"/>
  <c r="F18" i="4"/>
  <c r="E18" i="4"/>
  <c r="D18" i="4"/>
  <c r="F17" i="4"/>
  <c r="E17" i="4"/>
  <c r="D17" i="4"/>
  <c r="F16" i="4"/>
  <c r="E16" i="4"/>
  <c r="D16" i="4"/>
  <c r="F15" i="4"/>
  <c r="E15" i="4"/>
  <c r="D15" i="4"/>
  <c r="F14" i="4"/>
  <c r="E14" i="4"/>
  <c r="E7" i="4" s="1"/>
  <c r="D14" i="4"/>
  <c r="F13" i="4"/>
  <c r="E13" i="4"/>
  <c r="D13" i="4"/>
  <c r="E6" i="4"/>
  <c r="B6" i="4"/>
  <c r="E5" i="4"/>
  <c r="B5" i="4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B6" i="3"/>
  <c r="B5" i="3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G10" i="2"/>
  <c r="F10" i="2"/>
  <c r="E10" i="2"/>
  <c r="D10" i="2"/>
  <c r="C10" i="2"/>
  <c r="G9" i="2"/>
  <c r="F9" i="2"/>
  <c r="E9" i="2"/>
  <c r="D9" i="2"/>
  <c r="C9" i="2"/>
  <c r="B6" i="2"/>
  <c r="B5" i="2"/>
  <c r="K117" i="1"/>
  <c r="I117" i="1"/>
  <c r="H117" i="1"/>
  <c r="G117" i="1"/>
  <c r="F117" i="1"/>
  <c r="E117" i="1"/>
  <c r="D117" i="1"/>
  <c r="C117" i="1"/>
  <c r="B117" i="1"/>
  <c r="J117" i="1" s="1"/>
  <c r="K116" i="1"/>
  <c r="I116" i="1"/>
  <c r="H116" i="1"/>
  <c r="G116" i="1"/>
  <c r="F116" i="1"/>
  <c r="E116" i="1"/>
  <c r="D116" i="1"/>
  <c r="J116" i="1" s="1"/>
  <c r="C116" i="1"/>
  <c r="B116" i="1"/>
  <c r="K115" i="1"/>
  <c r="J115" i="1"/>
  <c r="I115" i="1"/>
  <c r="H115" i="1"/>
  <c r="G115" i="1"/>
  <c r="F115" i="1"/>
  <c r="E115" i="1"/>
  <c r="D115" i="1"/>
  <c r="C115" i="1"/>
  <c r="B115" i="1"/>
  <c r="K114" i="1"/>
  <c r="I114" i="1"/>
  <c r="H114" i="1"/>
  <c r="G114" i="1"/>
  <c r="F114" i="1"/>
  <c r="E114" i="1"/>
  <c r="D114" i="1"/>
  <c r="C114" i="1"/>
  <c r="B114" i="1"/>
  <c r="K113" i="1"/>
  <c r="I113" i="1"/>
  <c r="H113" i="1"/>
  <c r="G113" i="1"/>
  <c r="F113" i="1"/>
  <c r="E113" i="1"/>
  <c r="D113" i="1"/>
  <c r="C113" i="1"/>
  <c r="B113" i="1"/>
  <c r="K112" i="1"/>
  <c r="I112" i="1"/>
  <c r="H112" i="1"/>
  <c r="G112" i="1"/>
  <c r="F112" i="1"/>
  <c r="E112" i="1"/>
  <c r="D112" i="1"/>
  <c r="C112" i="1"/>
  <c r="B112" i="1"/>
  <c r="J112" i="1" s="1"/>
  <c r="K111" i="1"/>
  <c r="I111" i="1"/>
  <c r="H111" i="1"/>
  <c r="G111" i="1"/>
  <c r="F111" i="1"/>
  <c r="E111" i="1"/>
  <c r="D111" i="1"/>
  <c r="C111" i="1"/>
  <c r="B111" i="1"/>
  <c r="J111" i="1" s="1"/>
  <c r="K110" i="1"/>
  <c r="I110" i="1"/>
  <c r="H110" i="1"/>
  <c r="G110" i="1"/>
  <c r="F110" i="1"/>
  <c r="E110" i="1"/>
  <c r="D110" i="1"/>
  <c r="C110" i="1"/>
  <c r="B110" i="1"/>
  <c r="K109" i="1"/>
  <c r="I109" i="1"/>
  <c r="H109" i="1"/>
  <c r="G109" i="1"/>
  <c r="F109" i="1"/>
  <c r="E109" i="1"/>
  <c r="J109" i="1" s="1"/>
  <c r="D109" i="1"/>
  <c r="C109" i="1"/>
  <c r="B109" i="1"/>
  <c r="K108" i="1"/>
  <c r="I108" i="1"/>
  <c r="H108" i="1"/>
  <c r="G108" i="1"/>
  <c r="F108" i="1"/>
  <c r="E108" i="1"/>
  <c r="D108" i="1"/>
  <c r="C108" i="1"/>
  <c r="B108" i="1"/>
  <c r="J108" i="1" s="1"/>
  <c r="K107" i="1"/>
  <c r="I107" i="1"/>
  <c r="H107" i="1"/>
  <c r="G107" i="1"/>
  <c r="F107" i="1"/>
  <c r="E107" i="1"/>
  <c r="D107" i="1"/>
  <c r="C107" i="1"/>
  <c r="B107" i="1"/>
  <c r="K106" i="1"/>
  <c r="I106" i="1"/>
  <c r="H106" i="1"/>
  <c r="G106" i="1"/>
  <c r="F106" i="1"/>
  <c r="E106" i="1"/>
  <c r="D106" i="1"/>
  <c r="C106" i="1"/>
  <c r="B106" i="1"/>
  <c r="K105" i="1"/>
  <c r="I105" i="1"/>
  <c r="H105" i="1"/>
  <c r="G105" i="1"/>
  <c r="F105" i="1"/>
  <c r="E105" i="1"/>
  <c r="D105" i="1"/>
  <c r="C105" i="1"/>
  <c r="B105" i="1"/>
  <c r="K104" i="1"/>
  <c r="I104" i="1"/>
  <c r="H104" i="1"/>
  <c r="G104" i="1"/>
  <c r="F104" i="1"/>
  <c r="E104" i="1"/>
  <c r="D104" i="1"/>
  <c r="J104" i="1" s="1"/>
  <c r="C104" i="1"/>
  <c r="B104" i="1"/>
  <c r="K103" i="1"/>
  <c r="J103" i="1"/>
  <c r="I103" i="1"/>
  <c r="H103" i="1"/>
  <c r="G103" i="1"/>
  <c r="F103" i="1"/>
  <c r="E103" i="1"/>
  <c r="D103" i="1"/>
  <c r="C103" i="1"/>
  <c r="B103" i="1"/>
  <c r="K102" i="1"/>
  <c r="I102" i="1"/>
  <c r="H102" i="1"/>
  <c r="G102" i="1"/>
  <c r="F102" i="1"/>
  <c r="E102" i="1"/>
  <c r="D102" i="1"/>
  <c r="C102" i="1"/>
  <c r="B102" i="1"/>
  <c r="K101" i="1"/>
  <c r="I101" i="1"/>
  <c r="H101" i="1"/>
  <c r="G101" i="1"/>
  <c r="F101" i="1"/>
  <c r="E101" i="1"/>
  <c r="D101" i="1"/>
  <c r="C101" i="1"/>
  <c r="B101" i="1"/>
  <c r="K100" i="1"/>
  <c r="I100" i="1"/>
  <c r="H100" i="1"/>
  <c r="G100" i="1"/>
  <c r="F100" i="1"/>
  <c r="E100" i="1"/>
  <c r="D100" i="1"/>
  <c r="C100" i="1"/>
  <c r="B100" i="1"/>
  <c r="J100" i="1" s="1"/>
  <c r="K99" i="1"/>
  <c r="I99" i="1"/>
  <c r="H99" i="1"/>
  <c r="G99" i="1"/>
  <c r="F99" i="1"/>
  <c r="E99" i="1"/>
  <c r="D99" i="1"/>
  <c r="C99" i="1"/>
  <c r="B99" i="1"/>
  <c r="J99" i="1" s="1"/>
  <c r="K98" i="1"/>
  <c r="I98" i="1"/>
  <c r="H98" i="1"/>
  <c r="G98" i="1"/>
  <c r="F98" i="1"/>
  <c r="E98" i="1"/>
  <c r="D98" i="1"/>
  <c r="C98" i="1"/>
  <c r="B98" i="1"/>
  <c r="K97" i="1"/>
  <c r="I97" i="1"/>
  <c r="H97" i="1"/>
  <c r="G97" i="1"/>
  <c r="F97" i="1"/>
  <c r="E97" i="1"/>
  <c r="J97" i="1" s="1"/>
  <c r="D97" i="1"/>
  <c r="C97" i="1"/>
  <c r="B97" i="1"/>
  <c r="K96" i="1"/>
  <c r="I96" i="1"/>
  <c r="H96" i="1"/>
  <c r="G96" i="1"/>
  <c r="F96" i="1"/>
  <c r="E96" i="1"/>
  <c r="D96" i="1"/>
  <c r="C96" i="1"/>
  <c r="B96" i="1"/>
  <c r="J96" i="1" s="1"/>
  <c r="K95" i="1"/>
  <c r="I95" i="1"/>
  <c r="H95" i="1"/>
  <c r="G95" i="1"/>
  <c r="F95" i="1"/>
  <c r="E95" i="1"/>
  <c r="D95" i="1"/>
  <c r="C95" i="1"/>
  <c r="B95" i="1"/>
  <c r="K94" i="1"/>
  <c r="I94" i="1"/>
  <c r="H94" i="1"/>
  <c r="G94" i="1"/>
  <c r="F94" i="1"/>
  <c r="E94" i="1"/>
  <c r="D94" i="1"/>
  <c r="C94" i="1"/>
  <c r="B94" i="1"/>
  <c r="K93" i="1"/>
  <c r="I93" i="1"/>
  <c r="H93" i="1"/>
  <c r="G93" i="1"/>
  <c r="F93" i="1"/>
  <c r="E93" i="1"/>
  <c r="D93" i="1"/>
  <c r="C93" i="1"/>
  <c r="B93" i="1"/>
  <c r="K92" i="1"/>
  <c r="I92" i="1"/>
  <c r="H92" i="1"/>
  <c r="G92" i="1"/>
  <c r="F92" i="1"/>
  <c r="E92" i="1"/>
  <c r="D92" i="1"/>
  <c r="J92" i="1" s="1"/>
  <c r="C92" i="1"/>
  <c r="B92" i="1"/>
  <c r="K91" i="1"/>
  <c r="I91" i="1"/>
  <c r="H91" i="1"/>
  <c r="G91" i="1"/>
  <c r="F91" i="1"/>
  <c r="E91" i="1"/>
  <c r="J91" i="1" s="1"/>
  <c r="D91" i="1"/>
  <c r="C91" i="1"/>
  <c r="B91" i="1"/>
  <c r="K90" i="1"/>
  <c r="I90" i="1"/>
  <c r="H90" i="1"/>
  <c r="G90" i="1"/>
  <c r="F90" i="1"/>
  <c r="E90" i="1"/>
  <c r="D90" i="1"/>
  <c r="C90" i="1"/>
  <c r="B90" i="1"/>
  <c r="K89" i="1"/>
  <c r="I89" i="1"/>
  <c r="H89" i="1"/>
  <c r="G89" i="1"/>
  <c r="F89" i="1"/>
  <c r="E89" i="1"/>
  <c r="D89" i="1"/>
  <c r="C89" i="1"/>
  <c r="B89" i="1"/>
  <c r="K88" i="1"/>
  <c r="I88" i="1"/>
  <c r="H88" i="1"/>
  <c r="G88" i="1"/>
  <c r="F88" i="1"/>
  <c r="E88" i="1"/>
  <c r="D88" i="1"/>
  <c r="C88" i="1"/>
  <c r="B88" i="1"/>
  <c r="K87" i="1"/>
  <c r="I87" i="1"/>
  <c r="H87" i="1"/>
  <c r="G87" i="1"/>
  <c r="F87" i="1"/>
  <c r="E87" i="1"/>
  <c r="D87" i="1"/>
  <c r="C87" i="1"/>
  <c r="B87" i="1"/>
  <c r="J87" i="1" s="1"/>
  <c r="K86" i="1"/>
  <c r="I86" i="1"/>
  <c r="H86" i="1"/>
  <c r="G86" i="1"/>
  <c r="F86" i="1"/>
  <c r="E86" i="1"/>
  <c r="D86" i="1"/>
  <c r="C86" i="1"/>
  <c r="B86" i="1"/>
  <c r="K85" i="1"/>
  <c r="I85" i="1"/>
  <c r="H85" i="1"/>
  <c r="G85" i="1"/>
  <c r="F85" i="1"/>
  <c r="E85" i="1"/>
  <c r="J85" i="1" s="1"/>
  <c r="D85" i="1"/>
  <c r="C85" i="1"/>
  <c r="B85" i="1"/>
  <c r="K84" i="1"/>
  <c r="I84" i="1"/>
  <c r="H84" i="1"/>
  <c r="G84" i="1"/>
  <c r="F84" i="1"/>
  <c r="E84" i="1"/>
  <c r="D84" i="1"/>
  <c r="C84" i="1"/>
  <c r="B84" i="1"/>
  <c r="K83" i="1"/>
  <c r="I83" i="1"/>
  <c r="H83" i="1"/>
  <c r="G83" i="1"/>
  <c r="F83" i="1"/>
  <c r="E83" i="1"/>
  <c r="D83" i="1"/>
  <c r="C83" i="1"/>
  <c r="B83" i="1"/>
  <c r="K82" i="1"/>
  <c r="I82" i="1"/>
  <c r="H82" i="1"/>
  <c r="G82" i="1"/>
  <c r="F82" i="1"/>
  <c r="E82" i="1"/>
  <c r="D82" i="1"/>
  <c r="C82" i="1"/>
  <c r="B82" i="1"/>
  <c r="J82" i="1" s="1"/>
  <c r="K81" i="1"/>
  <c r="I81" i="1"/>
  <c r="H81" i="1"/>
  <c r="G81" i="1"/>
  <c r="F81" i="1"/>
  <c r="E81" i="1"/>
  <c r="D81" i="1"/>
  <c r="C81" i="1"/>
  <c r="B81" i="1"/>
  <c r="K80" i="1"/>
  <c r="I80" i="1"/>
  <c r="H80" i="1"/>
  <c r="G80" i="1"/>
  <c r="F80" i="1"/>
  <c r="E80" i="1"/>
  <c r="D80" i="1"/>
  <c r="J80" i="1" s="1"/>
  <c r="C80" i="1"/>
  <c r="B80" i="1"/>
  <c r="K79" i="1"/>
  <c r="I79" i="1"/>
  <c r="H79" i="1"/>
  <c r="G79" i="1"/>
  <c r="F79" i="1"/>
  <c r="E79" i="1"/>
  <c r="J79" i="1" s="1"/>
  <c r="D79" i="1"/>
  <c r="C79" i="1"/>
  <c r="B79" i="1"/>
  <c r="K78" i="1"/>
  <c r="I78" i="1"/>
  <c r="H78" i="1"/>
  <c r="G78" i="1"/>
  <c r="F78" i="1"/>
  <c r="E78" i="1"/>
  <c r="D78" i="1"/>
  <c r="C78" i="1"/>
  <c r="B78" i="1"/>
  <c r="J78" i="1" s="1"/>
  <c r="K77" i="1"/>
  <c r="I77" i="1"/>
  <c r="H77" i="1"/>
  <c r="G77" i="1"/>
  <c r="F77" i="1"/>
  <c r="E77" i="1"/>
  <c r="D77" i="1"/>
  <c r="C77" i="1"/>
  <c r="B77" i="1"/>
  <c r="K76" i="1"/>
  <c r="I76" i="1"/>
  <c r="H76" i="1"/>
  <c r="G76" i="1"/>
  <c r="F76" i="1"/>
  <c r="E76" i="1"/>
  <c r="D76" i="1"/>
  <c r="C76" i="1"/>
  <c r="B76" i="1"/>
  <c r="K75" i="1"/>
  <c r="I75" i="1"/>
  <c r="H75" i="1"/>
  <c r="G75" i="1"/>
  <c r="F75" i="1"/>
  <c r="E75" i="1"/>
  <c r="D75" i="1"/>
  <c r="C75" i="1"/>
  <c r="B75" i="1"/>
  <c r="J75" i="1" s="1"/>
  <c r="K74" i="1"/>
  <c r="I74" i="1"/>
  <c r="H74" i="1"/>
  <c r="G74" i="1"/>
  <c r="F74" i="1"/>
  <c r="E74" i="1"/>
  <c r="D74" i="1"/>
  <c r="C74" i="1"/>
  <c r="B74" i="1"/>
  <c r="K73" i="1"/>
  <c r="I73" i="1"/>
  <c r="H73" i="1"/>
  <c r="G73" i="1"/>
  <c r="F73" i="1"/>
  <c r="E73" i="1"/>
  <c r="J73" i="1" s="1"/>
  <c r="D73" i="1"/>
  <c r="C73" i="1"/>
  <c r="B73" i="1"/>
  <c r="K72" i="1"/>
  <c r="I72" i="1"/>
  <c r="H72" i="1"/>
  <c r="G72" i="1"/>
  <c r="F72" i="1"/>
  <c r="E72" i="1"/>
  <c r="D72" i="1"/>
  <c r="C72" i="1"/>
  <c r="B72" i="1"/>
  <c r="J72" i="1" s="1"/>
  <c r="K71" i="1"/>
  <c r="I71" i="1"/>
  <c r="H71" i="1"/>
  <c r="G71" i="1"/>
  <c r="F71" i="1"/>
  <c r="E71" i="1"/>
  <c r="D71" i="1"/>
  <c r="C71" i="1"/>
  <c r="B71" i="1"/>
  <c r="K70" i="1"/>
  <c r="I70" i="1"/>
  <c r="H70" i="1"/>
  <c r="G70" i="1"/>
  <c r="F70" i="1"/>
  <c r="E70" i="1"/>
  <c r="D70" i="1"/>
  <c r="C70" i="1"/>
  <c r="B70" i="1"/>
  <c r="J70" i="1" s="1"/>
  <c r="K69" i="1"/>
  <c r="I69" i="1"/>
  <c r="H69" i="1"/>
  <c r="G69" i="1"/>
  <c r="F69" i="1"/>
  <c r="E69" i="1"/>
  <c r="D69" i="1"/>
  <c r="C69" i="1"/>
  <c r="B69" i="1"/>
  <c r="K68" i="1"/>
  <c r="I68" i="1"/>
  <c r="H68" i="1"/>
  <c r="G68" i="1"/>
  <c r="F68" i="1"/>
  <c r="E68" i="1"/>
  <c r="D68" i="1"/>
  <c r="C68" i="1"/>
  <c r="B68" i="1"/>
  <c r="K67" i="1"/>
  <c r="I67" i="1"/>
  <c r="H67" i="1"/>
  <c r="G67" i="1"/>
  <c r="F67" i="1"/>
  <c r="E67" i="1"/>
  <c r="J67" i="1" s="1"/>
  <c r="D67" i="1"/>
  <c r="C67" i="1"/>
  <c r="B67" i="1"/>
  <c r="K66" i="1"/>
  <c r="I66" i="1"/>
  <c r="H66" i="1"/>
  <c r="G66" i="1"/>
  <c r="F66" i="1"/>
  <c r="E66" i="1"/>
  <c r="D66" i="1"/>
  <c r="C66" i="1"/>
  <c r="B66" i="1"/>
  <c r="J66" i="1" s="1"/>
  <c r="K65" i="1"/>
  <c r="I65" i="1"/>
  <c r="H65" i="1"/>
  <c r="G65" i="1"/>
  <c r="F65" i="1"/>
  <c r="E65" i="1"/>
  <c r="D65" i="1"/>
  <c r="C65" i="1"/>
  <c r="B65" i="1"/>
  <c r="K64" i="1"/>
  <c r="I64" i="1"/>
  <c r="H64" i="1"/>
  <c r="G64" i="1"/>
  <c r="F64" i="1"/>
  <c r="E64" i="1"/>
  <c r="D64" i="1"/>
  <c r="C64" i="1"/>
  <c r="B64" i="1"/>
  <c r="J64" i="1" s="1"/>
  <c r="K63" i="1"/>
  <c r="I63" i="1"/>
  <c r="H63" i="1"/>
  <c r="G63" i="1"/>
  <c r="F63" i="1"/>
  <c r="E63" i="1"/>
  <c r="D63" i="1"/>
  <c r="C63" i="1"/>
  <c r="B63" i="1"/>
  <c r="K62" i="1"/>
  <c r="I62" i="1"/>
  <c r="H62" i="1"/>
  <c r="G62" i="1"/>
  <c r="F62" i="1"/>
  <c r="E62" i="1"/>
  <c r="D62" i="1"/>
  <c r="J62" i="1" s="1"/>
  <c r="C62" i="1"/>
  <c r="B62" i="1"/>
  <c r="K61" i="1"/>
  <c r="I61" i="1"/>
  <c r="H61" i="1"/>
  <c r="G61" i="1"/>
  <c r="F61" i="1"/>
  <c r="E61" i="1"/>
  <c r="J61" i="1" s="1"/>
  <c r="D61" i="1"/>
  <c r="C61" i="1"/>
  <c r="B61" i="1"/>
  <c r="K60" i="1"/>
  <c r="I60" i="1"/>
  <c r="H60" i="1"/>
  <c r="G60" i="1"/>
  <c r="F60" i="1"/>
  <c r="E60" i="1"/>
  <c r="D60" i="1"/>
  <c r="C60" i="1"/>
  <c r="B60" i="1"/>
  <c r="J60" i="1" s="1"/>
  <c r="K59" i="1"/>
  <c r="I59" i="1"/>
  <c r="H59" i="1"/>
  <c r="G59" i="1"/>
  <c r="F59" i="1"/>
  <c r="E59" i="1"/>
  <c r="D59" i="1"/>
  <c r="C59" i="1"/>
  <c r="B59" i="1"/>
  <c r="K58" i="1"/>
  <c r="I58" i="1"/>
  <c r="H58" i="1"/>
  <c r="G58" i="1"/>
  <c r="F58" i="1"/>
  <c r="E58" i="1"/>
  <c r="D58" i="1"/>
  <c r="C58" i="1"/>
  <c r="B58" i="1"/>
  <c r="J58" i="1" s="1"/>
  <c r="K57" i="1"/>
  <c r="I57" i="1"/>
  <c r="H57" i="1"/>
  <c r="G57" i="1"/>
  <c r="F57" i="1"/>
  <c r="E57" i="1"/>
  <c r="D57" i="1"/>
  <c r="C57" i="1"/>
  <c r="B57" i="1"/>
  <c r="K56" i="1"/>
  <c r="I56" i="1"/>
  <c r="H56" i="1"/>
  <c r="G56" i="1"/>
  <c r="F56" i="1"/>
  <c r="E56" i="1"/>
  <c r="D56" i="1"/>
  <c r="J56" i="1" s="1"/>
  <c r="C56" i="1"/>
  <c r="B56" i="1"/>
  <c r="K55" i="1"/>
  <c r="I55" i="1"/>
  <c r="H55" i="1"/>
  <c r="G55" i="1"/>
  <c r="F55" i="1"/>
  <c r="E55" i="1"/>
  <c r="J55" i="1" s="1"/>
  <c r="D55" i="1"/>
  <c r="C55" i="1"/>
  <c r="B55" i="1"/>
  <c r="K54" i="1"/>
  <c r="I54" i="1"/>
  <c r="H54" i="1"/>
  <c r="G54" i="1"/>
  <c r="F54" i="1"/>
  <c r="E54" i="1"/>
  <c r="D54" i="1"/>
  <c r="C54" i="1"/>
  <c r="B54" i="1"/>
  <c r="K53" i="1"/>
  <c r="I53" i="1"/>
  <c r="H53" i="1"/>
  <c r="G53" i="1"/>
  <c r="F53" i="1"/>
  <c r="E53" i="1"/>
  <c r="D53" i="1"/>
  <c r="C53" i="1"/>
  <c r="B53" i="1"/>
  <c r="K52" i="1"/>
  <c r="I52" i="1"/>
  <c r="H52" i="1"/>
  <c r="G52" i="1"/>
  <c r="F52" i="1"/>
  <c r="E52" i="1"/>
  <c r="D52" i="1"/>
  <c r="C52" i="1"/>
  <c r="B52" i="1"/>
  <c r="J52" i="1" s="1"/>
  <c r="K51" i="1"/>
  <c r="I51" i="1"/>
  <c r="H51" i="1"/>
  <c r="G51" i="1"/>
  <c r="F51" i="1"/>
  <c r="E51" i="1"/>
  <c r="D51" i="1"/>
  <c r="C51" i="1"/>
  <c r="B51" i="1"/>
  <c r="J51" i="1" s="1"/>
  <c r="K50" i="1"/>
  <c r="I50" i="1"/>
  <c r="H50" i="1"/>
  <c r="G50" i="1"/>
  <c r="F50" i="1"/>
  <c r="E50" i="1"/>
  <c r="D50" i="1"/>
  <c r="J50" i="1" s="1"/>
  <c r="C50" i="1"/>
  <c r="B50" i="1"/>
  <c r="K49" i="1"/>
  <c r="I49" i="1"/>
  <c r="H49" i="1"/>
  <c r="G49" i="1"/>
  <c r="F49" i="1"/>
  <c r="E49" i="1"/>
  <c r="J49" i="1" s="1"/>
  <c r="D49" i="1"/>
  <c r="C49" i="1"/>
  <c r="B49" i="1"/>
  <c r="K48" i="1"/>
  <c r="I48" i="1"/>
  <c r="H48" i="1"/>
  <c r="G48" i="1"/>
  <c r="F48" i="1"/>
  <c r="E48" i="1"/>
  <c r="D48" i="1"/>
  <c r="C48" i="1"/>
  <c r="B48" i="1"/>
  <c r="J48" i="1" s="1"/>
  <c r="K47" i="1"/>
  <c r="I47" i="1"/>
  <c r="H47" i="1"/>
  <c r="G47" i="1"/>
  <c r="F47" i="1"/>
  <c r="E47" i="1"/>
  <c r="D47" i="1"/>
  <c r="C47" i="1"/>
  <c r="B47" i="1"/>
  <c r="K46" i="1"/>
  <c r="I46" i="1"/>
  <c r="H46" i="1"/>
  <c r="G46" i="1"/>
  <c r="F46" i="1"/>
  <c r="E46" i="1"/>
  <c r="D46" i="1"/>
  <c r="C46" i="1"/>
  <c r="B46" i="1"/>
  <c r="K45" i="1"/>
  <c r="I45" i="1"/>
  <c r="H45" i="1"/>
  <c r="G45" i="1"/>
  <c r="F45" i="1"/>
  <c r="E45" i="1"/>
  <c r="D45" i="1"/>
  <c r="C45" i="1"/>
  <c r="B45" i="1"/>
  <c r="K44" i="1"/>
  <c r="I44" i="1"/>
  <c r="H44" i="1"/>
  <c r="G44" i="1"/>
  <c r="F44" i="1"/>
  <c r="E44" i="1"/>
  <c r="D44" i="1"/>
  <c r="J44" i="1" s="1"/>
  <c r="C44" i="1"/>
  <c r="B44" i="1"/>
  <c r="K43" i="1"/>
  <c r="I43" i="1"/>
  <c r="H43" i="1"/>
  <c r="G43" i="1"/>
  <c r="F43" i="1"/>
  <c r="E43" i="1"/>
  <c r="J43" i="1" s="1"/>
  <c r="D43" i="1"/>
  <c r="C43" i="1"/>
  <c r="B43" i="1"/>
  <c r="K42" i="1"/>
  <c r="I42" i="1"/>
  <c r="H42" i="1"/>
  <c r="G42" i="1"/>
  <c r="F42" i="1"/>
  <c r="E42" i="1"/>
  <c r="D42" i="1"/>
  <c r="C42" i="1"/>
  <c r="B42" i="1"/>
  <c r="K41" i="1"/>
  <c r="I41" i="1"/>
  <c r="H41" i="1"/>
  <c r="G41" i="1"/>
  <c r="F41" i="1"/>
  <c r="E41" i="1"/>
  <c r="D41" i="1"/>
  <c r="C41" i="1"/>
  <c r="B41" i="1"/>
  <c r="K40" i="1"/>
  <c r="I40" i="1"/>
  <c r="H40" i="1"/>
  <c r="G40" i="1"/>
  <c r="F40" i="1"/>
  <c r="E40" i="1"/>
  <c r="D40" i="1"/>
  <c r="C40" i="1"/>
  <c r="B40" i="1"/>
  <c r="K39" i="1"/>
  <c r="I39" i="1"/>
  <c r="H39" i="1"/>
  <c r="G39" i="1"/>
  <c r="F39" i="1"/>
  <c r="E39" i="1"/>
  <c r="D39" i="1"/>
  <c r="C39" i="1"/>
  <c r="B39" i="1"/>
  <c r="J39" i="1" s="1"/>
  <c r="K38" i="1"/>
  <c r="I38" i="1"/>
  <c r="H38" i="1"/>
  <c r="G38" i="1"/>
  <c r="F38" i="1"/>
  <c r="E38" i="1"/>
  <c r="D38" i="1"/>
  <c r="C38" i="1"/>
  <c r="B38" i="1"/>
  <c r="K37" i="1"/>
  <c r="I37" i="1"/>
  <c r="H37" i="1"/>
  <c r="G37" i="1"/>
  <c r="F37" i="1"/>
  <c r="E37" i="1"/>
  <c r="J37" i="1" s="1"/>
  <c r="D37" i="1"/>
  <c r="C37" i="1"/>
  <c r="B37" i="1"/>
  <c r="K36" i="1"/>
  <c r="I36" i="1"/>
  <c r="H36" i="1"/>
  <c r="G36" i="1"/>
  <c r="F36" i="1"/>
  <c r="E36" i="1"/>
  <c r="D36" i="1"/>
  <c r="C36" i="1"/>
  <c r="B36" i="1"/>
  <c r="K35" i="1"/>
  <c r="I35" i="1"/>
  <c r="H35" i="1"/>
  <c r="G35" i="1"/>
  <c r="F35" i="1"/>
  <c r="E35" i="1"/>
  <c r="D35" i="1"/>
  <c r="C35" i="1"/>
  <c r="B35" i="1"/>
  <c r="K34" i="1"/>
  <c r="I34" i="1"/>
  <c r="H34" i="1"/>
  <c r="G34" i="1"/>
  <c r="F34" i="1"/>
  <c r="E34" i="1"/>
  <c r="D34" i="1"/>
  <c r="C34" i="1"/>
  <c r="B34" i="1"/>
  <c r="J34" i="1" s="1"/>
  <c r="K33" i="1"/>
  <c r="I33" i="1"/>
  <c r="H33" i="1"/>
  <c r="G33" i="1"/>
  <c r="F33" i="1"/>
  <c r="E33" i="1"/>
  <c r="D33" i="1"/>
  <c r="C33" i="1"/>
  <c r="B33" i="1"/>
  <c r="K32" i="1"/>
  <c r="I32" i="1"/>
  <c r="H32" i="1"/>
  <c r="G32" i="1"/>
  <c r="F32" i="1"/>
  <c r="E32" i="1"/>
  <c r="D32" i="1"/>
  <c r="J32" i="1" s="1"/>
  <c r="C32" i="1"/>
  <c r="B32" i="1"/>
  <c r="K31" i="1"/>
  <c r="I31" i="1"/>
  <c r="H31" i="1"/>
  <c r="G31" i="1"/>
  <c r="F31" i="1"/>
  <c r="E31" i="1"/>
  <c r="J31" i="1" s="1"/>
  <c r="D31" i="1"/>
  <c r="C31" i="1"/>
  <c r="B31" i="1"/>
  <c r="K30" i="1"/>
  <c r="I30" i="1"/>
  <c r="H30" i="1"/>
  <c r="G30" i="1"/>
  <c r="F30" i="1"/>
  <c r="E30" i="1"/>
  <c r="D30" i="1"/>
  <c r="C30" i="1"/>
  <c r="B30" i="1"/>
  <c r="J30" i="1" s="1"/>
  <c r="K29" i="1"/>
  <c r="I29" i="1"/>
  <c r="H29" i="1"/>
  <c r="G29" i="1"/>
  <c r="F29" i="1"/>
  <c r="E29" i="1"/>
  <c r="D29" i="1"/>
  <c r="C29" i="1"/>
  <c r="B29" i="1"/>
  <c r="I28" i="1"/>
  <c r="H28" i="1"/>
  <c r="G28" i="1"/>
  <c r="F28" i="1"/>
  <c r="E28" i="1"/>
  <c r="D28" i="1"/>
  <c r="C28" i="1"/>
  <c r="B28" i="1"/>
  <c r="C25" i="1"/>
  <c r="B25" i="1"/>
  <c r="C23" i="1"/>
  <c r="B23" i="1"/>
  <c r="C22" i="1"/>
  <c r="B22" i="1"/>
  <c r="C21" i="1"/>
  <c r="B21" i="1"/>
  <c r="C20" i="1"/>
  <c r="B20" i="1"/>
  <c r="B24" i="1" s="1"/>
  <c r="B9" i="1" s="1"/>
  <c r="C19" i="1"/>
  <c r="B19" i="1"/>
  <c r="C18" i="1"/>
  <c r="B18" i="1"/>
  <c r="C17" i="1"/>
  <c r="B17" i="1"/>
  <c r="J45" i="1" l="1"/>
  <c r="J94" i="1"/>
  <c r="J102" i="1"/>
  <c r="C24" i="1"/>
  <c r="B10" i="1" s="1"/>
  <c r="J57" i="1"/>
  <c r="J69" i="1"/>
  <c r="J74" i="1"/>
  <c r="J106" i="1"/>
  <c r="J89" i="1"/>
  <c r="J47" i="1"/>
  <c r="J90" i="1"/>
  <c r="J28" i="1"/>
  <c r="J36" i="1"/>
  <c r="J40" i="1"/>
  <c r="J81" i="1"/>
  <c r="J86" i="1"/>
  <c r="J98" i="1"/>
  <c r="J59" i="1"/>
  <c r="J29" i="1"/>
  <c r="J71" i="1"/>
  <c r="J65" i="1"/>
  <c r="J35" i="1"/>
  <c r="B12" i="1" s="1"/>
  <c r="B13" i="1" s="1"/>
  <c r="J42" i="1"/>
  <c r="J107" i="1"/>
  <c r="J114" i="1"/>
  <c r="J46" i="1"/>
  <c r="J63" i="1"/>
  <c r="J68" i="1"/>
  <c r="J77" i="1"/>
  <c r="J84" i="1"/>
  <c r="J101" i="1"/>
  <c r="J41" i="1"/>
  <c r="J113" i="1"/>
  <c r="J83" i="1"/>
  <c r="J53" i="1"/>
  <c r="J95" i="1"/>
  <c r="J76" i="1"/>
  <c r="J93" i="1"/>
  <c r="J33" i="1"/>
  <c r="J38" i="1"/>
  <c r="J54" i="1"/>
  <c r="J88" i="1"/>
  <c r="J105" i="1"/>
  <c r="J110" i="1"/>
  <c r="B7" i="2"/>
  <c r="D18" i="1"/>
  <c r="B7" i="4"/>
  <c r="D17" i="1"/>
  <c r="B7" i="7"/>
  <c r="D19" i="1"/>
  <c r="B7" i="3"/>
  <c r="D23" i="1"/>
  <c r="D21" i="1"/>
  <c r="B7" i="8"/>
  <c r="D22" i="1"/>
  <c r="B7" i="5"/>
  <c r="B7" i="6"/>
  <c r="D20" i="1"/>
  <c r="D24" i="1" l="1"/>
  <c r="B11" i="1" s="1"/>
</calcChain>
</file>

<file path=xl/sharedStrings.xml><?xml version="1.0" encoding="utf-8"?>
<sst xmlns="http://schemas.openxmlformats.org/spreadsheetml/2006/main" count="171" uniqueCount="91">
  <si>
    <t>🏋  ACTIVITY TRACKER  ·  Daily Analysis Dashboard</t>
  </si>
  <si>
    <t>Log each workout on its own tab. This sheet adds everything up automatically — just keep the date columns matched.</t>
  </si>
  <si>
    <t>PROFILE  (edit these — everything recalculates)</t>
  </si>
  <si>
    <t>Body Weight (kg)</t>
  </si>
  <si>
    <t>Target Weight (kg)</t>
  </si>
  <si>
    <t>Height (cm)</t>
  </si>
  <si>
    <t>OVERALL TOTALS</t>
  </si>
  <si>
    <t>Total Sessions</t>
  </si>
  <si>
    <t>Total Active Minutes</t>
  </si>
  <si>
    <t>Total Calories Burned</t>
  </si>
  <si>
    <t>Active Days</t>
  </si>
  <si>
    <t>Avg Min / Active Day</t>
  </si>
  <si>
    <t>Activity</t>
  </si>
  <si>
    <t>Sessions</t>
  </si>
  <si>
    <t>Total Min</t>
  </si>
  <si>
    <t>Total Cal</t>
  </si>
  <si>
    <t>Gym</t>
  </si>
  <si>
    <t>Workout</t>
  </si>
  <si>
    <t>Run</t>
  </si>
  <si>
    <t>Walk</t>
  </si>
  <si>
    <t>Swim</t>
  </si>
  <si>
    <t>Cycle</t>
  </si>
  <si>
    <t>Tennis</t>
  </si>
  <si>
    <t>TOTAL</t>
  </si>
  <si>
    <t>Sauna (recovery)</t>
  </si>
  <si>
    <t>—</t>
  </si>
  <si>
    <t>DAILY LOG  (auto-calculated from every tab)</t>
  </si>
  <si>
    <t>Date</t>
  </si>
  <si>
    <t>Sauna</t>
  </si>
  <si>
    <t>Active Min</t>
  </si>
  <si>
    <t>Active Cal</t>
  </si>
  <si>
    <t>Gym  Log</t>
  </si>
  <si>
    <t>Fill the white columns; coloured columns calculate themselves.</t>
  </si>
  <si>
    <t>SUMMARY &amp; SETTINGS</t>
  </si>
  <si>
    <t>Strength MET</t>
  </si>
  <si>
    <t>Total Minutes</t>
  </si>
  <si>
    <t>Total Calories</t>
  </si>
  <si>
    <t>Squat</t>
  </si>
  <si>
    <t>Bench</t>
  </si>
  <si>
    <t>Dead</t>
  </si>
  <si>
    <t>OHP</t>
  </si>
  <si>
    <t>Row</t>
  </si>
  <si>
    <t>Best (kg) →</t>
  </si>
  <si>
    <t>Latest (kg) →</t>
  </si>
  <si>
    <t>Focus</t>
  </si>
  <si>
    <t>Squat (kg)</t>
  </si>
  <si>
    <t>Bench (kg)</t>
  </si>
  <si>
    <t>Deadlift (kg)</t>
  </si>
  <si>
    <t>OHP (kg)</t>
  </si>
  <si>
    <t>Row (kg)</t>
  </si>
  <si>
    <t>Duration (min)</t>
  </si>
  <si>
    <t>Calories</t>
  </si>
  <si>
    <t>RPE</t>
  </si>
  <si>
    <t>Notes</t>
  </si>
  <si>
    <t>Workout  Log</t>
  </si>
  <si>
    <t>MET per row →  (yoga≈3, HIIT≈8, mobility≈2.5)</t>
  </si>
  <si>
    <t>Type</t>
  </si>
  <si>
    <t>MET</t>
  </si>
  <si>
    <t>Run  Log</t>
  </si>
  <si>
    <t>Run MET</t>
  </si>
  <si>
    <t>Best Pace (min/km)</t>
  </si>
  <si>
    <t>Total Distance (km)</t>
  </si>
  <si>
    <t>Longest Run (km)</t>
  </si>
  <si>
    <t>Avg Speed (km/h)</t>
  </si>
  <si>
    <t>Distance (km)</t>
  </si>
  <si>
    <t>Pace (min/km)</t>
  </si>
  <si>
    <t>Speed (km/h)</t>
  </si>
  <si>
    <t>Walk  Log</t>
  </si>
  <si>
    <t>Walk MET</t>
  </si>
  <si>
    <t>Total Steps</t>
  </si>
  <si>
    <t>Longest Walk (km)</t>
  </si>
  <si>
    <t>Steps</t>
  </si>
  <si>
    <t>Swim  Log</t>
  </si>
  <si>
    <t>Swim MET</t>
  </si>
  <si>
    <t>Best Pace (/100m)</t>
  </si>
  <si>
    <t>Total Distance (m)</t>
  </si>
  <si>
    <t>Longest Swim (m)</t>
  </si>
  <si>
    <t>Distance (m)</t>
  </si>
  <si>
    <t>Pace (min/100m)</t>
  </si>
  <si>
    <t>Cycle  Log</t>
  </si>
  <si>
    <t>Cycle MET</t>
  </si>
  <si>
    <t>Longest Ride (km)</t>
  </si>
  <si>
    <t>Tennis  Log</t>
  </si>
  <si>
    <t>Tennis MET</t>
  </si>
  <si>
    <t>Sauna  Log  ·  recovery, not calorie burn</t>
  </si>
  <si>
    <t>Tracked as a recovery habit. With high BP: keep sessions short, hydrate well, no alcohol, stop if dizzy.</t>
  </si>
  <si>
    <t>SUMMARY</t>
  </si>
  <si>
    <t>Avg Temp (°C)</t>
  </si>
  <si>
    <t>Avg Session (min)</t>
  </si>
  <si>
    <t>Temp (°C)</t>
  </si>
  <si>
    <t>Feel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</si>
</sst>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16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i/>
      <sz val="9"/>
      <color rgb="FF5A6A70"/>
      <name val="Calibri"/>
      <charset val="1"/>
    </font>
    <font>
      <b/>
      <sz val="10"/>
      <color rgb="FF2A3A40"/>
      <name val="Calibri"/>
      <charset val="1"/>
    </font>
    <font>
      <sz val="10"/>
      <color rgb="FF3A4A50"/>
      <name val="Calibri"/>
      <charset val="1"/>
    </font>
    <font>
      <b/>
      <sz val="10"/>
      <color rgb="FF0000FF"/>
      <name val="Calibri"/>
      <charset val="1"/>
    </font>
    <font>
      <b/>
      <sz val="10"/>
      <color rgb="FF15252B"/>
      <name val="Calibri"/>
      <charset val="1"/>
    </font>
    <font>
      <b/>
      <sz val="10"/>
      <color rgb="FFFFFFFF"/>
      <name val="Calibri"/>
      <charset val="1"/>
    </font>
    <font>
      <sz val="10"/>
      <name val="Calibri"/>
      <charset val="1"/>
    </font>
    <font>
      <b/>
      <sz val="10"/>
      <color rgb="FF0A7A3A"/>
      <name val="Calibri"/>
      <charset val="1"/>
    </font>
    <font>
      <b/>
      <sz val="10"/>
      <name val="Calibri"/>
      <charset val="1"/>
    </font>
    <font>
      <i/>
      <sz val="10"/>
      <color rgb="FF6A4DB0"/>
      <name val="Calibri"/>
      <charset val="1"/>
    </font>
    <font>
      <sz val="10"/>
      <color rgb="FF9099A0"/>
      <name val="Calibri"/>
      <charset val="1"/>
    </font>
    <font>
      <sz val="10"/>
      <color rgb="FF0A7A3A"/>
      <name val="Calibri"/>
      <charset val="1"/>
    </font>
    <font>
      <sz val="10"/>
      <color rgb="FF9A6BC0"/>
      <name val="Calibri"/>
      <charset val="1"/>
    </font>
    <font>
      <b/>
      <sz val="9"/>
      <color rgb="FF3A4A50"/>
      <name val="Calibri"/>
      <charset val="1"/>
    </font>
  </fonts>
  <fills count="15">
    <fill>
      <patternFill patternType="none"/>
    </fill>
    <fill>
      <patternFill patternType="gray125"/>
    </fill>
    <fill>
      <patternFill patternType="solid">
        <fgColor rgb="FF0E5C57"/>
        <bgColor rgb="FF0A7A3A"/>
      </patternFill>
    </fill>
    <fill>
      <patternFill patternType="solid">
        <fgColor rgb="FFFFF3B0"/>
        <bgColor rgb="FFEEF3EF"/>
      </patternFill>
    </fill>
    <fill>
      <patternFill patternType="solid">
        <fgColor rgb="FFEEF3EF"/>
        <bgColor rgb="FFF2F7F4"/>
      </patternFill>
    </fill>
    <fill>
      <patternFill patternType="solid">
        <fgColor rgb="FFF2F7F4"/>
        <bgColor rgb="FFF7FAF7"/>
      </patternFill>
    </fill>
    <fill>
      <patternFill patternType="solid">
        <fgColor rgb="FFC97A2C"/>
        <bgColor rgb="FFB58A14"/>
      </patternFill>
    </fill>
    <fill>
      <patternFill patternType="solid">
        <fgColor rgb="FFF7FAF7"/>
        <bgColor rgb="FFF2F7F4"/>
      </patternFill>
    </fill>
    <fill>
      <patternFill patternType="solid">
        <fgColor rgb="FF6A4DB0"/>
        <bgColor rgb="FF7D5FA0"/>
      </patternFill>
    </fill>
    <fill>
      <patternFill patternType="solid">
        <fgColor rgb="FFD9483F"/>
        <bgColor rgb="FFBE4B48"/>
      </patternFill>
    </fill>
    <fill>
      <patternFill patternType="solid">
        <fgColor rgb="FF4E8A2C"/>
        <bgColor rgb="FF5A6A70"/>
      </patternFill>
    </fill>
    <fill>
      <patternFill patternType="solid">
        <fgColor rgb="FF1E76C0"/>
        <bgColor rgb="FF4A7EBB"/>
      </patternFill>
    </fill>
    <fill>
      <patternFill patternType="solid">
        <fgColor rgb="FF15A0A0"/>
        <bgColor rgb="FF46AAC4"/>
      </patternFill>
    </fill>
    <fill>
      <patternFill patternType="solid">
        <fgColor rgb="FFB58A14"/>
        <bgColor rgb="FFC97A2C"/>
      </patternFill>
    </fill>
    <fill>
      <patternFill patternType="solid">
        <fgColor rgb="FFB5562C"/>
        <bgColor rgb="FFBE4B48"/>
      </patternFill>
    </fill>
  </fills>
  <borders count="2">
    <border>
      <left/>
      <right/>
      <top/>
      <bottom/>
      <diagonal/>
    </border>
    <border>
      <left style="thin">
        <color rgb="FFD5DBD5"/>
      </left>
      <right style="thin">
        <color rgb="FFD5DBD5"/>
      </right>
      <top style="thin">
        <color rgb="FFD5DBD5"/>
      </top>
      <bottom style="thin">
        <color rgb="FFD5DBD5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14" borderId="0" xfId="0" applyFont="1" applyFill="1" applyAlignment="1">
      <alignment horizontal="left" vertical="center" indent="1"/>
    </xf>
    <xf numFmtId="0" fontId="1" fillId="13" borderId="0" xfId="0" applyFont="1" applyFill="1" applyAlignment="1">
      <alignment horizontal="left" vertical="center" indent="1"/>
    </xf>
    <xf numFmtId="0" fontId="1" fillId="12" borderId="0" xfId="0" applyFont="1" applyFill="1" applyAlignment="1">
      <alignment horizontal="left" vertical="center" indent="1"/>
    </xf>
    <xf numFmtId="0" fontId="1" fillId="11" borderId="0" xfId="0" applyFont="1" applyFill="1" applyAlignment="1">
      <alignment horizontal="left" vertical="center" indent="1"/>
    </xf>
    <xf numFmtId="0" fontId="1" fillId="10" borderId="0" xfId="0" applyFont="1" applyFill="1" applyAlignment="1">
      <alignment horizontal="left" vertical="center" indent="1"/>
    </xf>
    <xf numFmtId="0" fontId="1" fillId="9" borderId="0" xfId="0" applyFont="1" applyFill="1" applyAlignment="1">
      <alignment horizontal="left" vertical="center" indent="1"/>
    </xf>
    <xf numFmtId="0" fontId="1" fillId="8" borderId="0" xfId="0" applyFont="1" applyFill="1" applyAlignment="1">
      <alignment horizontal="left" vertical="center" indent="1"/>
    </xf>
    <xf numFmtId="0" fontId="1" fillId="6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indent="1"/>
    </xf>
    <xf numFmtId="0" fontId="1" fillId="2" borderId="0" xfId="0" applyFont="1" applyFill="1" applyAlignment="1">
      <alignment horizontal="left" vertical="center" indent="1"/>
    </xf>
    <xf numFmtId="0" fontId="3" fillId="0" borderId="0" xfId="0" applyFont="1"/>
    <xf numFmtId="0" fontId="4" fillId="0" borderId="0" xfId="0" applyFont="1"/>
    <xf numFmtId="164" fontId="5" fillId="3" borderId="1" xfId="0" applyNumberFormat="1" applyFont="1" applyFill="1" applyBorder="1"/>
    <xf numFmtId="1" fontId="5" fillId="3" borderId="1" xfId="0" applyNumberFormat="1" applyFont="1" applyFill="1" applyBorder="1"/>
    <xf numFmtId="1" fontId="6" fillId="0" borderId="0" xfId="0" applyNumberFormat="1" applyFont="1"/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1" fontId="9" fillId="0" borderId="1" xfId="0" applyNumberFormat="1" applyFont="1" applyBorder="1"/>
    <xf numFmtId="0" fontId="10" fillId="4" borderId="1" xfId="0" applyFont="1" applyFill="1" applyBorder="1"/>
    <xf numFmtId="1" fontId="6" fillId="4" borderId="1" xfId="0" applyNumberFormat="1" applyFont="1" applyFill="1" applyBorder="1"/>
    <xf numFmtId="0" fontId="11" fillId="0" borderId="1" xfId="0" applyFont="1" applyBorder="1"/>
    <xf numFmtId="0" fontId="12" fillId="0" borderId="1" xfId="0" applyFont="1" applyBorder="1" applyAlignment="1">
      <alignment horizontal="center"/>
    </xf>
    <xf numFmtId="165" fontId="8" fillId="0" borderId="1" xfId="0" applyNumberFormat="1" applyFont="1" applyBorder="1"/>
    <xf numFmtId="1" fontId="13" fillId="0" borderId="1" xfId="0" applyNumberFormat="1" applyFont="1" applyBorder="1"/>
    <xf numFmtId="1" fontId="14" fillId="0" borderId="1" xfId="0" applyNumberFormat="1" applyFont="1" applyBorder="1"/>
    <xf numFmtId="1" fontId="6" fillId="0" borderId="1" xfId="0" applyNumberFormat="1" applyFont="1" applyBorder="1"/>
    <xf numFmtId="165" fontId="8" fillId="5" borderId="1" xfId="0" applyNumberFormat="1" applyFont="1" applyFill="1" applyBorder="1"/>
    <xf numFmtId="1" fontId="13" fillId="5" borderId="1" xfId="0" applyNumberFormat="1" applyFont="1" applyFill="1" applyBorder="1"/>
    <xf numFmtId="1" fontId="14" fillId="5" borderId="1" xfId="0" applyNumberFormat="1" applyFont="1" applyFill="1" applyBorder="1"/>
    <xf numFmtId="1" fontId="6" fillId="5" borderId="1" xfId="0" applyNumberFormat="1" applyFont="1" applyFill="1" applyBorder="1"/>
    <xf numFmtId="1" fontId="9" fillId="0" borderId="0" xfId="0" applyNumberFormat="1" applyFont="1"/>
    <xf numFmtId="0" fontId="15" fillId="0" borderId="0" xfId="0" applyFont="1"/>
    <xf numFmtId="164" fontId="6" fillId="0" borderId="0" xfId="0" applyNumberFormat="1" applyFont="1"/>
    <xf numFmtId="0" fontId="7" fillId="6" borderId="1" xfId="0" applyFont="1" applyFill="1" applyBorder="1" applyAlignment="1">
      <alignment horizontal="center" vertical="center" wrapText="1"/>
    </xf>
    <xf numFmtId="164" fontId="8" fillId="0" borderId="1" xfId="0" applyNumberFormat="1" applyFont="1" applyBorder="1"/>
    <xf numFmtId="1" fontId="8" fillId="0" borderId="1" xfId="0" applyNumberFormat="1" applyFont="1" applyBorder="1"/>
    <xf numFmtId="165" fontId="8" fillId="7" borderId="1" xfId="0" applyNumberFormat="1" applyFont="1" applyFill="1" applyBorder="1"/>
    <xf numFmtId="0" fontId="8" fillId="7" borderId="1" xfId="0" applyFont="1" applyFill="1" applyBorder="1"/>
    <xf numFmtId="164" fontId="8" fillId="7" borderId="1" xfId="0" applyNumberFormat="1" applyFont="1" applyFill="1" applyBorder="1"/>
    <xf numFmtId="1" fontId="8" fillId="7" borderId="1" xfId="0" applyNumberFormat="1" applyFont="1" applyFill="1" applyBorder="1"/>
    <xf numFmtId="0" fontId="7" fillId="8" borderId="1" xfId="0" applyFont="1" applyFill="1" applyBorder="1" applyAlignment="1">
      <alignment horizontal="center" vertical="center" wrapText="1"/>
    </xf>
    <xf numFmtId="2" fontId="6" fillId="0" borderId="0" xfId="0" applyNumberFormat="1" applyFont="1"/>
    <xf numFmtId="0" fontId="7" fillId="9" borderId="1" xfId="0" applyFont="1" applyFill="1" applyBorder="1" applyAlignment="1">
      <alignment horizontal="center" vertical="center" wrapText="1"/>
    </xf>
    <xf numFmtId="2" fontId="8" fillId="0" borderId="1" xfId="0" applyNumberFormat="1" applyFont="1" applyBorder="1"/>
    <xf numFmtId="2" fontId="8" fillId="7" borderId="1" xfId="0" applyNumberFormat="1" applyFont="1" applyFill="1" applyBorder="1"/>
    <xf numFmtId="0" fontId="7" fillId="10" borderId="1" xfId="0" applyFont="1" applyFill="1" applyBorder="1" applyAlignment="1">
      <alignment horizontal="center" vertical="center" wrapText="1"/>
    </xf>
    <xf numFmtId="165" fontId="5" fillId="0" borderId="1" xfId="0" applyNumberFormat="1" applyFont="1" applyBorder="1"/>
    <xf numFmtId="2" fontId="5" fillId="0" borderId="1" xfId="0" applyNumberFormat="1" applyFont="1" applyBorder="1"/>
    <xf numFmtId="1" fontId="5" fillId="0" borderId="1" xfId="0" applyNumberFormat="1" applyFont="1" applyBorder="1"/>
    <xf numFmtId="0" fontId="5" fillId="0" borderId="1" xfId="0" applyFont="1" applyBorder="1"/>
    <xf numFmtId="0" fontId="7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A7A3A"/>
      <rgbColor rgb="FF000080"/>
      <rgbColor rgb="FFB58A14"/>
      <rgbColor rgb="FF6A4DB0"/>
      <rgbColor rgb="FF0E5C57"/>
      <rgbColor rgb="FFD5DBD5"/>
      <rgbColor rgb="FF878787"/>
      <rgbColor rgb="FF9A6BC0"/>
      <rgbColor rgb="FFBE4B48"/>
      <rgbColor rgb="FFF7FAF7"/>
      <rgbColor rgb="FFEEF3EF"/>
      <rgbColor rgb="FF660066"/>
      <rgbColor rgb="FFFF8080"/>
      <rgbColor rgb="FF1E76C0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F2F7F4"/>
      <rgbColor rgb="FFCCFFCC"/>
      <rgbColor rgb="FFFFF3B0"/>
      <rgbColor rgb="FF99CCFF"/>
      <rgbColor rgb="FFFF99CC"/>
      <rgbColor rgb="FFCC99FF"/>
      <rgbColor rgb="FFFFCC99"/>
      <rgbColor rgb="FF4A7EBB"/>
      <rgbColor rgb="FF46AAC4"/>
      <rgbColor rgb="FF98B855"/>
      <rgbColor rgb="FFFFCC00"/>
      <rgbColor rgb="FFFF9900"/>
      <rgbColor rgb="FFC97A2C"/>
      <rgbColor rgb="FF7D5FA0"/>
      <rgbColor rgb="FF9099A0"/>
      <rgbColor rgb="FF4E8A2C"/>
      <rgbColor rgb="FF15A0A0"/>
      <rgbColor rgb="FF15252B"/>
      <rgbColor rgb="FF5A6A70"/>
      <rgbColor rgb="FFB5562C"/>
      <rgbColor rgb="FFD9483F"/>
      <rgbColor rgb="FF3A4A50"/>
      <rgbColor rgb="FF2A3A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NZ" sz="1800" b="1" strike="noStrike" spc="-1">
                <a:solidFill>
                  <a:srgbClr val="000000"/>
                </a:solidFill>
                <a:latin typeface="Calibri"/>
              </a:rPr>
              <a:t>Calories by Activity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'Daily Analysis'!$D$16</c:f>
              <c:strCache>
                <c:ptCount val="1"/>
                <c:pt idx="0">
                  <c:v>Total Cal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Analysis'!$A$17:$A$23</c:f>
              <c:strCache>
                <c:ptCount val="7"/>
                <c:pt idx="0">
                  <c:v>Gym</c:v>
                </c:pt>
                <c:pt idx="1">
                  <c:v>Workout</c:v>
                </c:pt>
                <c:pt idx="2">
                  <c:v>Run</c:v>
                </c:pt>
                <c:pt idx="3">
                  <c:v>Walk</c:v>
                </c:pt>
                <c:pt idx="4">
                  <c:v>Swim</c:v>
                </c:pt>
                <c:pt idx="5">
                  <c:v>Cycle</c:v>
                </c:pt>
                <c:pt idx="6">
                  <c:v>Tennis</c:v>
                </c:pt>
              </c:strCache>
            </c:strRef>
          </c:cat>
          <c:val>
            <c:numRef>
              <c:f>'Daily Analysis'!$D$17:$D$23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75-42E8-8B8E-BDA1032AE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643163"/>
        <c:axId val="67164280"/>
      </c:barChart>
      <c:catAx>
        <c:axId val="346431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164280"/>
        <c:crosses val="autoZero"/>
        <c:auto val="1"/>
        <c:lblAlgn val="ctr"/>
        <c:lblOffset val="100"/>
        <c:noMultiLvlLbl val="0"/>
      </c:catAx>
      <c:valAx>
        <c:axId val="671642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6431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NZ" sz="1800" b="1" strike="noStrike" spc="-1">
                <a:solidFill>
                  <a:srgbClr val="000000"/>
                </a:solidFill>
                <a:latin typeface="Calibri"/>
              </a:rPr>
              <a:t>Sessions by Activity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'Daily Analysis'!$B$16</c:f>
              <c:strCache>
                <c:ptCount val="1"/>
                <c:pt idx="0">
                  <c:v>Sessions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Analysis'!$A$17:$A$23</c:f>
              <c:strCache>
                <c:ptCount val="7"/>
                <c:pt idx="0">
                  <c:v>Gym</c:v>
                </c:pt>
                <c:pt idx="1">
                  <c:v>Workout</c:v>
                </c:pt>
                <c:pt idx="2">
                  <c:v>Run</c:v>
                </c:pt>
                <c:pt idx="3">
                  <c:v>Walk</c:v>
                </c:pt>
                <c:pt idx="4">
                  <c:v>Swim</c:v>
                </c:pt>
                <c:pt idx="5">
                  <c:v>Cycle</c:v>
                </c:pt>
                <c:pt idx="6">
                  <c:v>Tennis</c:v>
                </c:pt>
              </c:strCache>
            </c:strRef>
          </c:cat>
          <c:val>
            <c:numRef>
              <c:f>'Daily Analysis'!$B$17:$B$23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4F-4B38-ACFB-D975A9FF9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091340"/>
        <c:axId val="95744151"/>
      </c:barChart>
      <c:catAx>
        <c:axId val="440913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744151"/>
        <c:crosses val="autoZero"/>
        <c:auto val="1"/>
        <c:lblAlgn val="ctr"/>
        <c:lblOffset val="100"/>
        <c:noMultiLvlLbl val="0"/>
      </c:catAx>
      <c:valAx>
        <c:axId val="957441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0913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NZ" sz="1800" b="1" strike="noStrike" spc="-1">
                <a:solidFill>
                  <a:srgbClr val="000000"/>
                </a:solidFill>
                <a:latin typeface="Calibri"/>
              </a:rPr>
              <a:t>Daily Active Minutes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Analysis'!$J$27</c:f>
              <c:strCache>
                <c:ptCount val="1"/>
                <c:pt idx="0">
                  <c:v>Active Min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'Daily Analysis'!$A$28:$A$57</c:f>
              <c:numCache>
                <c:formatCode>yyyy\-mm\-dd</c:formatCode>
                <c:ptCount val="30"/>
                <c:pt idx="0">
                  <c:v>46186</c:v>
                </c:pt>
                <c:pt idx="1">
                  <c:v>46187</c:v>
                </c:pt>
                <c:pt idx="2">
                  <c:v>46188</c:v>
                </c:pt>
                <c:pt idx="3">
                  <c:v>46189</c:v>
                </c:pt>
                <c:pt idx="4">
                  <c:v>46190</c:v>
                </c:pt>
                <c:pt idx="5">
                  <c:v>46191</c:v>
                </c:pt>
                <c:pt idx="6">
                  <c:v>46192</c:v>
                </c:pt>
                <c:pt idx="7">
                  <c:v>46193</c:v>
                </c:pt>
                <c:pt idx="8">
                  <c:v>46194</c:v>
                </c:pt>
                <c:pt idx="9">
                  <c:v>46195</c:v>
                </c:pt>
                <c:pt idx="10">
                  <c:v>46196</c:v>
                </c:pt>
                <c:pt idx="11">
                  <c:v>46197</c:v>
                </c:pt>
                <c:pt idx="12">
                  <c:v>46198</c:v>
                </c:pt>
                <c:pt idx="13">
                  <c:v>46199</c:v>
                </c:pt>
                <c:pt idx="14">
                  <c:v>46200</c:v>
                </c:pt>
                <c:pt idx="15">
                  <c:v>46201</c:v>
                </c:pt>
                <c:pt idx="16">
                  <c:v>46202</c:v>
                </c:pt>
                <c:pt idx="17">
                  <c:v>46203</c:v>
                </c:pt>
                <c:pt idx="18">
                  <c:v>46204</c:v>
                </c:pt>
                <c:pt idx="19">
                  <c:v>46205</c:v>
                </c:pt>
                <c:pt idx="20">
                  <c:v>46206</c:v>
                </c:pt>
                <c:pt idx="21">
                  <c:v>46207</c:v>
                </c:pt>
                <c:pt idx="22">
                  <c:v>46208</c:v>
                </c:pt>
                <c:pt idx="23">
                  <c:v>46209</c:v>
                </c:pt>
                <c:pt idx="24">
                  <c:v>46210</c:v>
                </c:pt>
                <c:pt idx="25">
                  <c:v>46211</c:v>
                </c:pt>
                <c:pt idx="26">
                  <c:v>46212</c:v>
                </c:pt>
                <c:pt idx="27">
                  <c:v>46213</c:v>
                </c:pt>
                <c:pt idx="28">
                  <c:v>46214</c:v>
                </c:pt>
                <c:pt idx="29">
                  <c:v>46215</c:v>
                </c:pt>
              </c:numCache>
            </c:numRef>
          </c:cat>
          <c:val>
            <c:numRef>
              <c:f>'Daily Analysis'!$J$28:$J$57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F47-4C3F-B880-1703E2B67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5285078"/>
        <c:axId val="68509720"/>
      </c:lineChart>
      <c:dateAx>
        <c:axId val="75285078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509720"/>
        <c:crosses val="autoZero"/>
        <c:auto val="1"/>
        <c:lblOffset val="100"/>
        <c:baseTimeUnit val="days"/>
      </c:dateAx>
      <c:valAx>
        <c:axId val="685097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2850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NZ" sz="1800" b="1" strike="noStrike" spc="-1">
                <a:solidFill>
                  <a:srgbClr val="000000"/>
                </a:solidFill>
                <a:latin typeface="Calibri"/>
              </a:rPr>
              <a:t>Main Lifts Over Time (kg)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Gym!$C$12</c:f>
              <c:strCache>
                <c:ptCount val="1"/>
                <c:pt idx="0">
                  <c:v>Squat (kg)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Gym!$A$13:$A$62</c:f>
              <c:numCache>
                <c:formatCode>yyyy\-mm\-dd</c:formatCode>
                <c:ptCount val="50"/>
              </c:numCache>
            </c:numRef>
          </c:cat>
          <c:val>
            <c:numRef>
              <c:f>Gym!$C$13:$C$62</c:f>
              <c:numCache>
                <c:formatCode>0.0</c:formatCode>
                <c:ptCount val="50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2F1-48DA-B0A1-20E2D034377A}"/>
            </c:ext>
          </c:extLst>
        </c:ser>
        <c:ser>
          <c:idx val="1"/>
          <c:order val="1"/>
          <c:tx>
            <c:strRef>
              <c:f>Gym!$D$12</c:f>
              <c:strCache>
                <c:ptCount val="1"/>
                <c:pt idx="0">
                  <c:v>Bench (kg)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Gym!$A$13:$A$62</c:f>
              <c:numCache>
                <c:formatCode>yyyy\-mm\-dd</c:formatCode>
                <c:ptCount val="50"/>
              </c:numCache>
            </c:numRef>
          </c:cat>
          <c:val>
            <c:numRef>
              <c:f>Gym!$D$13:$D$62</c:f>
              <c:numCache>
                <c:formatCode>0.0</c:formatCode>
                <c:ptCount val="50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2F1-48DA-B0A1-20E2D034377A}"/>
            </c:ext>
          </c:extLst>
        </c:ser>
        <c:ser>
          <c:idx val="2"/>
          <c:order val="2"/>
          <c:tx>
            <c:strRef>
              <c:f>Gym!$E$12</c:f>
              <c:strCache>
                <c:ptCount val="1"/>
                <c:pt idx="0">
                  <c:v>Deadlift (kg)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Gym!$A$13:$A$62</c:f>
              <c:numCache>
                <c:formatCode>yyyy\-mm\-dd</c:formatCode>
                <c:ptCount val="50"/>
              </c:numCache>
            </c:numRef>
          </c:cat>
          <c:val>
            <c:numRef>
              <c:f>Gym!$E$13:$E$62</c:f>
              <c:numCache>
                <c:formatCode>0.0</c:formatCode>
                <c:ptCount val="50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2F1-48DA-B0A1-20E2D034377A}"/>
            </c:ext>
          </c:extLst>
        </c:ser>
        <c:ser>
          <c:idx val="3"/>
          <c:order val="3"/>
          <c:tx>
            <c:strRef>
              <c:f>Gym!$F$12</c:f>
              <c:strCache>
                <c:ptCount val="1"/>
                <c:pt idx="0">
                  <c:v>OHP (kg)</c:v>
                </c:pt>
              </c:strCache>
            </c:strRef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Gym!$A$13:$A$62</c:f>
              <c:numCache>
                <c:formatCode>yyyy\-mm\-dd</c:formatCode>
                <c:ptCount val="50"/>
              </c:numCache>
            </c:numRef>
          </c:cat>
          <c:val>
            <c:numRef>
              <c:f>Gym!$F$13:$F$62</c:f>
              <c:numCache>
                <c:formatCode>0.0</c:formatCode>
                <c:ptCount val="50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2F1-48DA-B0A1-20E2D034377A}"/>
            </c:ext>
          </c:extLst>
        </c:ser>
        <c:ser>
          <c:idx val="4"/>
          <c:order val="4"/>
          <c:tx>
            <c:strRef>
              <c:f>Gym!$G$12</c:f>
              <c:strCache>
                <c:ptCount val="1"/>
                <c:pt idx="0">
                  <c:v>Row (kg)</c:v>
                </c:pt>
              </c:strCache>
            </c:strRef>
          </c:tx>
          <c:spPr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Gym!$A$13:$A$62</c:f>
              <c:numCache>
                <c:formatCode>yyyy\-mm\-dd</c:formatCode>
                <c:ptCount val="50"/>
              </c:numCache>
            </c:numRef>
          </c:cat>
          <c:val>
            <c:numRef>
              <c:f>Gym!$G$13:$G$62</c:f>
              <c:numCache>
                <c:formatCode>0.0</c:formatCode>
                <c:ptCount val="50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2F1-48DA-B0A1-20E2D0343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2156534"/>
        <c:axId val="450602"/>
      </c:lineChart>
      <c:catAx>
        <c:axId val="82156534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0602"/>
        <c:crosses val="autoZero"/>
        <c:auto val="1"/>
        <c:lblAlgn val="ctr"/>
        <c:lblOffset val="100"/>
        <c:noMultiLvlLbl val="0"/>
      </c:catAx>
      <c:valAx>
        <c:axId val="4506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1565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NZ" sz="1800" b="1" strike="noStrike" spc="-1">
                <a:solidFill>
                  <a:srgbClr val="000000"/>
                </a:solidFill>
                <a:latin typeface="Calibri"/>
              </a:rPr>
              <a:t>Pace Over Time (min/km — lower is better)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Run!$D$12</c:f>
              <c:strCache>
                <c:ptCount val="1"/>
                <c:pt idx="0">
                  <c:v>Pace (min/km)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Run!$A$13:$A$62</c:f>
              <c:numCache>
                <c:formatCode>yyyy\-mm\-dd</c:formatCode>
                <c:ptCount val="50"/>
              </c:numCache>
            </c:numRef>
          </c:cat>
          <c:val>
            <c:numRef>
              <c:f>Run!$D$13:$D$62</c:f>
              <c:numCache>
                <c:formatCode>0.00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7BA-47F7-8559-6828490EF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7468173"/>
        <c:axId val="39562276"/>
      </c:lineChart>
      <c:catAx>
        <c:axId val="17468173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562276"/>
        <c:crosses val="autoZero"/>
        <c:auto val="1"/>
        <c:lblAlgn val="ctr"/>
        <c:lblOffset val="100"/>
        <c:noMultiLvlLbl val="0"/>
      </c:catAx>
      <c:valAx>
        <c:axId val="395622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4681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Swim Pace /100m (lower is better)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Swim!$D$12</c:f>
              <c:strCache>
                <c:ptCount val="1"/>
                <c:pt idx="0">
                  <c:v>Pace (min/100m)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Swim!$A$13:$A$62</c:f>
              <c:numCache>
                <c:formatCode>yyyy\-mm\-dd</c:formatCode>
                <c:ptCount val="50"/>
              </c:numCache>
            </c:numRef>
          </c:cat>
          <c:val>
            <c:numRef>
              <c:f>Swim!$D$13:$D$62</c:f>
              <c:numCache>
                <c:formatCode>0.00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5F2-4C6C-91E2-40B1FE285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8946101"/>
        <c:axId val="93889438"/>
      </c:lineChart>
      <c:catAx>
        <c:axId val="18946101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889438"/>
        <c:crosses val="autoZero"/>
        <c:auto val="1"/>
        <c:lblAlgn val="ctr"/>
        <c:lblOffset val="100"/>
        <c:noMultiLvlLbl val="0"/>
      </c:catAx>
      <c:valAx>
        <c:axId val="938894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9461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Avg Speed Over Time (km/h)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Cycle!$D$12</c:f>
              <c:strCache>
                <c:ptCount val="1"/>
                <c:pt idx="0">
                  <c:v>Speed (km/h)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Cycle!$A$13:$A$62</c:f>
              <c:numCache>
                <c:formatCode>yyyy\-mm\-dd</c:formatCode>
                <c:ptCount val="50"/>
              </c:numCache>
            </c:numRef>
          </c:cat>
          <c:val>
            <c:numRef>
              <c:f>Cycle!$D$13:$D$62</c:f>
              <c:numCache>
                <c:formatCode>0.0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488-457D-B996-997F4EC21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0242295"/>
        <c:axId val="46571161"/>
      </c:lineChart>
      <c:catAx>
        <c:axId val="60242295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571161"/>
        <c:crosses val="autoZero"/>
        <c:auto val="1"/>
        <c:lblAlgn val="ctr"/>
        <c:lblOffset val="100"/>
        <c:noMultiLvlLbl val="0"/>
      </c:catAx>
      <c:valAx>
        <c:axId val="465711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2422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0</xdr:rowOff>
    </xdr:from>
    <xdr:to>
      <xdr:col>18</xdr:col>
      <xdr:colOff>399240</xdr:colOff>
      <xdr:row>15</xdr:row>
      <xdr:rowOff>43200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17</xdr:row>
      <xdr:rowOff>0</xdr:rowOff>
    </xdr:from>
    <xdr:to>
      <xdr:col>18</xdr:col>
      <xdr:colOff>399240</xdr:colOff>
      <xdr:row>29</xdr:row>
      <xdr:rowOff>43200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32</xdr:row>
      <xdr:rowOff>0</xdr:rowOff>
    </xdr:from>
    <xdr:to>
      <xdr:col>26</xdr:col>
      <xdr:colOff>187200</xdr:colOff>
      <xdr:row>45</xdr:row>
      <xdr:rowOff>43200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0</xdr:rowOff>
    </xdr:from>
    <xdr:to>
      <xdr:col>21</xdr:col>
      <xdr:colOff>256320</xdr:colOff>
      <xdr:row>17</xdr:row>
      <xdr:rowOff>22320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18</xdr:col>
      <xdr:colOff>255960</xdr:colOff>
      <xdr:row>17</xdr:row>
      <xdr:rowOff>22320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17</xdr:col>
      <xdr:colOff>256320</xdr:colOff>
      <xdr:row>17</xdr:row>
      <xdr:rowOff>22320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17</xdr:col>
      <xdr:colOff>256320</xdr:colOff>
      <xdr:row>17</xdr:row>
      <xdr:rowOff>22320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7"/>
  <sheetViews>
    <sheetView tabSelected="1" topLeftCell="A14" zoomScaleNormal="100" workbookViewId="0">
      <selection activeCell="G12" sqref="G12"/>
    </sheetView>
  </sheetViews>
  <sheetFormatPr defaultColWidth="8.6328125" defaultRowHeight="14.5" x14ac:dyDescent="0.35"/>
  <cols>
    <col min="1" max="1" width="13" customWidth="1"/>
    <col min="2" max="3" width="11" customWidth="1"/>
    <col min="4" max="9" width="10" customWidth="1"/>
    <col min="10" max="11" width="11" customWidth="1"/>
  </cols>
  <sheetData>
    <row r="1" spans="1:10" ht="30" customHeight="1" x14ac:dyDescent="0.3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x14ac:dyDescent="0.3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</row>
    <row r="3" spans="1:10" x14ac:dyDescent="0.35">
      <c r="A3" s="11" t="s">
        <v>2</v>
      </c>
    </row>
    <row r="4" spans="1:10" x14ac:dyDescent="0.35">
      <c r="A4" s="12" t="s">
        <v>3</v>
      </c>
      <c r="B4" s="13"/>
    </row>
    <row r="5" spans="1:10" x14ac:dyDescent="0.35">
      <c r="A5" s="12" t="s">
        <v>4</v>
      </c>
      <c r="B5" s="13"/>
    </row>
    <row r="6" spans="1:10" x14ac:dyDescent="0.35">
      <c r="A6" s="12" t="s">
        <v>5</v>
      </c>
      <c r="B6" s="14"/>
    </row>
    <row r="8" spans="1:10" x14ac:dyDescent="0.35">
      <c r="A8" s="11" t="s">
        <v>6</v>
      </c>
    </row>
    <row r="9" spans="1:10" x14ac:dyDescent="0.35">
      <c r="A9" s="12" t="s">
        <v>7</v>
      </c>
      <c r="B9" s="15">
        <f>B24</f>
        <v>0</v>
      </c>
    </row>
    <row r="10" spans="1:10" x14ac:dyDescent="0.35">
      <c r="A10" s="12" t="s">
        <v>8</v>
      </c>
      <c r="B10" s="15">
        <f>C24</f>
        <v>0</v>
      </c>
    </row>
    <row r="11" spans="1:10" x14ac:dyDescent="0.35">
      <c r="A11" s="12" t="s">
        <v>9</v>
      </c>
      <c r="B11" s="15">
        <f>D24</f>
        <v>0</v>
      </c>
    </row>
    <row r="12" spans="1:10" x14ac:dyDescent="0.35">
      <c r="A12" s="12" t="s">
        <v>10</v>
      </c>
      <c r="B12" s="15">
        <f>COUNTIF($J$28:$J$117,"&gt;0")</f>
        <v>0</v>
      </c>
    </row>
    <row r="13" spans="1:10" x14ac:dyDescent="0.35">
      <c r="A13" s="12" t="s">
        <v>11</v>
      </c>
      <c r="B13" s="15">
        <f>IF(B12=0,0,ROUND(B10/B12,0))</f>
        <v>0</v>
      </c>
    </row>
    <row r="16" spans="1:10" ht="30" customHeight="1" x14ac:dyDescent="0.35">
      <c r="A16" s="16" t="s">
        <v>12</v>
      </c>
      <c r="B16" s="16" t="s">
        <v>13</v>
      </c>
      <c r="C16" s="16" t="s">
        <v>14</v>
      </c>
      <c r="D16" s="16" t="s">
        <v>15</v>
      </c>
    </row>
    <row r="17" spans="1:11" x14ac:dyDescent="0.35">
      <c r="A17" s="17" t="s">
        <v>16</v>
      </c>
      <c r="B17" s="18">
        <f>COUNT(Gym!$A$13:$A$62)</f>
        <v>0</v>
      </c>
      <c r="C17" s="18">
        <f>SUM(Gym!$H$13:$H$62)</f>
        <v>0</v>
      </c>
      <c r="D17" s="18">
        <f>ROUND(SUM(Gym!$I$13:$I$62),0)</f>
        <v>0</v>
      </c>
    </row>
    <row r="18" spans="1:11" x14ac:dyDescent="0.35">
      <c r="A18" s="17" t="s">
        <v>17</v>
      </c>
      <c r="B18" s="18">
        <f>COUNT(Workout!$A$13:$A$62)</f>
        <v>0</v>
      </c>
      <c r="C18" s="18">
        <f>SUM(Workout!$D$13:$D$62)</f>
        <v>0</v>
      </c>
      <c r="D18" s="18">
        <f>ROUND(SUM(Workout!$E$13:$E$62),0)</f>
        <v>0</v>
      </c>
    </row>
    <row r="19" spans="1:11" x14ac:dyDescent="0.35">
      <c r="A19" s="17" t="s">
        <v>18</v>
      </c>
      <c r="B19" s="18">
        <f>COUNT(Run!$A$13:$A$62)</f>
        <v>0</v>
      </c>
      <c r="C19" s="18">
        <f>SUM(Run!$C$13:$C$62)</f>
        <v>0</v>
      </c>
      <c r="D19" s="18">
        <f>ROUND(SUM(Run!$F$13:$F$62),0)</f>
        <v>0</v>
      </c>
    </row>
    <row r="20" spans="1:11" x14ac:dyDescent="0.35">
      <c r="A20" s="17" t="s">
        <v>19</v>
      </c>
      <c r="B20" s="18">
        <f>COUNT(Walk!$A$13:$A$62)</f>
        <v>0</v>
      </c>
      <c r="C20" s="18">
        <f>SUM(Walk!$C$13:$C$62)</f>
        <v>0</v>
      </c>
      <c r="D20" s="18">
        <f>ROUND(SUM(Walk!$F$13:$F$62),0)</f>
        <v>0</v>
      </c>
    </row>
    <row r="21" spans="1:11" x14ac:dyDescent="0.35">
      <c r="A21" s="17" t="s">
        <v>20</v>
      </c>
      <c r="B21" s="18">
        <f>COUNT(Swim!$A$13:$A$62)</f>
        <v>0</v>
      </c>
      <c r="C21" s="18">
        <f>SUM(Swim!$C$13:$C$62)</f>
        <v>0</v>
      </c>
      <c r="D21" s="18">
        <f>ROUND(SUM(Swim!$E$13:$E$62),0)</f>
        <v>0</v>
      </c>
    </row>
    <row r="22" spans="1:11" x14ac:dyDescent="0.35">
      <c r="A22" s="17" t="s">
        <v>21</v>
      </c>
      <c r="B22" s="18">
        <f>COUNT(Cycle!$A$13:$A$62)</f>
        <v>0</v>
      </c>
      <c r="C22" s="18">
        <f>SUM(Cycle!$C$13:$C$62)</f>
        <v>0</v>
      </c>
      <c r="D22" s="18">
        <f>ROUND(SUM(Cycle!$E$13:$E$62),0)</f>
        <v>0</v>
      </c>
    </row>
    <row r="23" spans="1:11" x14ac:dyDescent="0.35">
      <c r="A23" s="17" t="s">
        <v>22</v>
      </c>
      <c r="B23" s="18">
        <f>COUNT(Tennis!$A$13:$A$62)</f>
        <v>0</v>
      </c>
      <c r="C23" s="18">
        <f>SUM(Tennis!$B$13:$B$62)</f>
        <v>0</v>
      </c>
      <c r="D23" s="18">
        <f>ROUND(SUM(Tennis!$D$13:$D$62),0)</f>
        <v>0</v>
      </c>
    </row>
    <row r="24" spans="1:11" x14ac:dyDescent="0.35">
      <c r="A24" s="19" t="s">
        <v>23</v>
      </c>
      <c r="B24" s="20">
        <f>SUM(B17:B23)</f>
        <v>0</v>
      </c>
      <c r="C24" s="20">
        <f>SUM(C17:C23)</f>
        <v>0</v>
      </c>
      <c r="D24" s="20">
        <f>SUM(D17:D23)</f>
        <v>0</v>
      </c>
    </row>
    <row r="25" spans="1:11" x14ac:dyDescent="0.35">
      <c r="A25" s="21" t="s">
        <v>24</v>
      </c>
      <c r="B25" s="18">
        <f>COUNT(Sauna!$A$13:$A$62)</f>
        <v>0</v>
      </c>
      <c r="C25" s="18">
        <f>SUM(Sauna!$B$13:$B$62)</f>
        <v>0</v>
      </c>
      <c r="D25" s="22" t="s">
        <v>25</v>
      </c>
    </row>
    <row r="26" spans="1:11" x14ac:dyDescent="0.35">
      <c r="A26" s="11" t="s">
        <v>26</v>
      </c>
    </row>
    <row r="27" spans="1:11" ht="30" customHeight="1" x14ac:dyDescent="0.35">
      <c r="A27" s="16" t="s">
        <v>27</v>
      </c>
      <c r="B27" s="16" t="s">
        <v>16</v>
      </c>
      <c r="C27" s="16" t="s">
        <v>17</v>
      </c>
      <c r="D27" s="16" t="s">
        <v>18</v>
      </c>
      <c r="E27" s="16" t="s">
        <v>19</v>
      </c>
      <c r="F27" s="16" t="s">
        <v>20</v>
      </c>
      <c r="G27" s="16" t="s">
        <v>21</v>
      </c>
      <c r="H27" s="16" t="s">
        <v>22</v>
      </c>
      <c r="I27" s="16" t="s">
        <v>28</v>
      </c>
      <c r="J27" s="16" t="s">
        <v>29</v>
      </c>
      <c r="K27" s="16" t="s">
        <v>30</v>
      </c>
    </row>
    <row r="28" spans="1:11" x14ac:dyDescent="0.35">
      <c r="A28" s="23">
        <v>46186</v>
      </c>
      <c r="B28" s="24">
        <f>SUMIFS(Gym!$H$13:$H$62,Gym!$A$13:$A$62,$A28)</f>
        <v>0</v>
      </c>
      <c r="C28" s="24">
        <f>SUMIFS(Workout!$D$13:$D$62,Workout!$A$13:$A$62,$A28)</f>
        <v>0</v>
      </c>
      <c r="D28" s="24">
        <f>SUMIFS(Run!$C$13:$C$62,Run!$A$13:$A$62,$A28)</f>
        <v>0</v>
      </c>
      <c r="E28" s="24">
        <f>SUMIFS(Walk!$C$13:$C$62,Walk!$A$13:$A$62,$A28)</f>
        <v>0</v>
      </c>
      <c r="F28" s="24">
        <f>SUMIFS(Swim!$C$13:$C$62,Swim!$A$13:$A$62,$A28)</f>
        <v>0</v>
      </c>
      <c r="G28" s="24">
        <f>SUMIFS(Cycle!$C$13:$C$62,Cycle!$A$13:$A$62,$A28)</f>
        <v>0</v>
      </c>
      <c r="H28" s="24">
        <f>SUMIFS(Tennis!$B$13:$B$62,Tennis!$A$13:$A$62,$A28)</f>
        <v>0</v>
      </c>
      <c r="I28" s="25">
        <f>SUMIFS(Sauna!$B$13:$B$62,Sauna!$A$13:$A$62,$A28)</f>
        <v>0</v>
      </c>
      <c r="J28" s="26">
        <f t="shared" ref="J28:J59" si="0">SUM(B28:H28)</f>
        <v>0</v>
      </c>
      <c r="K28" s="24">
        <f>ROUND(SUMIFS(Gym!$I$13:$I$62,Gym!$A$13:$A$62,$A28)+SUMIFS(Workout!$E$13:$E$62,Workout!$A$13:$A$62,$A28)+SUMIFS(Run!$F$13:$F$62,Run!$A$13:$A$62,$A28)+SUMIFS(Walk!$F$13:$F$62,Walk!$A$13:$A$62,$A28)+SUMIFS(Swim!$E$13:$E$62,Swim!$A$13:$A$62,$A28)+SUMIFS(Cycle!$E$13:$E$62,Cycle!$A$13:$A$62,$A28)+SUMIFS(Tennis!$D$13:$D$62,Tennis!$A$13:$A$62,$A28),0)</f>
        <v>0</v>
      </c>
    </row>
    <row r="29" spans="1:11" x14ac:dyDescent="0.35">
      <c r="A29" s="27">
        <v>46187</v>
      </c>
      <c r="B29" s="28">
        <f>SUMIFS(Gym!$H$13:$H$62,Gym!$A$13:$A$62,$A29)</f>
        <v>0</v>
      </c>
      <c r="C29" s="28">
        <f>SUMIFS(Workout!$D$13:$D$62,Workout!$A$13:$A$62,$A29)</f>
        <v>0</v>
      </c>
      <c r="D29" s="28">
        <f>SUMIFS(Run!$C$13:$C$62,Run!$A$13:$A$62,$A29)</f>
        <v>0</v>
      </c>
      <c r="E29" s="28">
        <f>SUMIFS(Walk!$C$13:$C$62,Walk!$A$13:$A$62,$A29)</f>
        <v>0</v>
      </c>
      <c r="F29" s="28">
        <f>SUMIFS(Swim!$C$13:$C$62,Swim!$A$13:$A$62,$A29)</f>
        <v>0</v>
      </c>
      <c r="G29" s="28">
        <f>SUMIFS(Cycle!$C$13:$C$62,Cycle!$A$13:$A$62,$A29)</f>
        <v>0</v>
      </c>
      <c r="H29" s="28">
        <f>SUMIFS(Tennis!$B$13:$B$62,Tennis!$A$13:$A$62,$A29)</f>
        <v>0</v>
      </c>
      <c r="I29" s="29">
        <f>SUMIFS(Sauna!$B$13:$B$62,Sauna!$A$13:$A$62,$A29)</f>
        <v>0</v>
      </c>
      <c r="J29" s="30">
        <f t="shared" si="0"/>
        <v>0</v>
      </c>
      <c r="K29" s="28">
        <f>ROUND(SUMIFS(Gym!$I$13:$I$62,Gym!$A$13:$A$62,$A29)+SUMIFS(Workout!$E$13:$E$62,Workout!$A$13:$A$62,$A29)+SUMIFS(Run!$F$13:$F$62,Run!$A$13:$A$62,$A29)+SUMIFS(Walk!$F$13:$F$62,Walk!$A$13:$A$62,$A29)+SUMIFS(Swim!$E$13:$E$62,Swim!$A$13:$A$62,$A29)+SUMIFS(Cycle!$E$13:$E$62,Cycle!$A$13:$A$62,$A29)+SUMIFS(Tennis!$D$13:$D$62,Tennis!$A$13:$A$62,$A29),0)</f>
        <v>0</v>
      </c>
    </row>
    <row r="30" spans="1:11" x14ac:dyDescent="0.35">
      <c r="A30" s="23">
        <v>46188</v>
      </c>
      <c r="B30" s="24">
        <f>SUMIFS(Gym!$H$13:$H$62,Gym!$A$13:$A$62,$A30)</f>
        <v>0</v>
      </c>
      <c r="C30" s="24">
        <f>SUMIFS(Workout!$D$13:$D$62,Workout!$A$13:$A$62,$A30)</f>
        <v>0</v>
      </c>
      <c r="D30" s="24">
        <f>SUMIFS(Run!$C$13:$C$62,Run!$A$13:$A$62,$A30)</f>
        <v>0</v>
      </c>
      <c r="E30" s="24">
        <f>SUMIFS(Walk!$C$13:$C$62,Walk!$A$13:$A$62,$A30)</f>
        <v>0</v>
      </c>
      <c r="F30" s="24">
        <f>SUMIFS(Swim!$C$13:$C$62,Swim!$A$13:$A$62,$A30)</f>
        <v>0</v>
      </c>
      <c r="G30" s="24">
        <f>SUMIFS(Cycle!$C$13:$C$62,Cycle!$A$13:$A$62,$A30)</f>
        <v>0</v>
      </c>
      <c r="H30" s="24">
        <f>SUMIFS(Tennis!$B$13:$B$62,Tennis!$A$13:$A$62,$A30)</f>
        <v>0</v>
      </c>
      <c r="I30" s="25">
        <f>SUMIFS(Sauna!$B$13:$B$62,Sauna!$A$13:$A$62,$A30)</f>
        <v>0</v>
      </c>
      <c r="J30" s="26">
        <f t="shared" si="0"/>
        <v>0</v>
      </c>
      <c r="K30" s="24">
        <f>ROUND(SUMIFS(Gym!$I$13:$I$62,Gym!$A$13:$A$62,$A30)+SUMIFS(Workout!$E$13:$E$62,Workout!$A$13:$A$62,$A30)+SUMIFS(Run!$F$13:$F$62,Run!$A$13:$A$62,$A30)+SUMIFS(Walk!$F$13:$F$62,Walk!$A$13:$A$62,$A30)+SUMIFS(Swim!$E$13:$E$62,Swim!$A$13:$A$62,$A30)+SUMIFS(Cycle!$E$13:$E$62,Cycle!$A$13:$A$62,$A30)+SUMIFS(Tennis!$D$13:$D$62,Tennis!$A$13:$A$62,$A30),0)</f>
        <v>0</v>
      </c>
    </row>
    <row r="31" spans="1:11" x14ac:dyDescent="0.35">
      <c r="A31" s="27">
        <v>46189</v>
      </c>
      <c r="B31" s="28">
        <f>SUMIFS(Gym!$H$13:$H$62,Gym!$A$13:$A$62,$A31)</f>
        <v>0</v>
      </c>
      <c r="C31" s="28">
        <f>SUMIFS(Workout!$D$13:$D$62,Workout!$A$13:$A$62,$A31)</f>
        <v>0</v>
      </c>
      <c r="D31" s="28">
        <f>SUMIFS(Run!$C$13:$C$62,Run!$A$13:$A$62,$A31)</f>
        <v>0</v>
      </c>
      <c r="E31" s="28">
        <f>SUMIFS(Walk!$C$13:$C$62,Walk!$A$13:$A$62,$A31)</f>
        <v>0</v>
      </c>
      <c r="F31" s="28">
        <f>SUMIFS(Swim!$C$13:$C$62,Swim!$A$13:$A$62,$A31)</f>
        <v>0</v>
      </c>
      <c r="G31" s="28">
        <f>SUMIFS(Cycle!$C$13:$C$62,Cycle!$A$13:$A$62,$A31)</f>
        <v>0</v>
      </c>
      <c r="H31" s="28">
        <f>SUMIFS(Tennis!$B$13:$B$62,Tennis!$A$13:$A$62,$A31)</f>
        <v>0</v>
      </c>
      <c r="I31" s="29">
        <f>SUMIFS(Sauna!$B$13:$B$62,Sauna!$A$13:$A$62,$A31)</f>
        <v>0</v>
      </c>
      <c r="J31" s="30">
        <f t="shared" si="0"/>
        <v>0</v>
      </c>
      <c r="K31" s="28">
        <f>ROUND(SUMIFS(Gym!$I$13:$I$62,Gym!$A$13:$A$62,$A31)+SUMIFS(Workout!$E$13:$E$62,Workout!$A$13:$A$62,$A31)+SUMIFS(Run!$F$13:$F$62,Run!$A$13:$A$62,$A31)+SUMIFS(Walk!$F$13:$F$62,Walk!$A$13:$A$62,$A31)+SUMIFS(Swim!$E$13:$E$62,Swim!$A$13:$A$62,$A31)+SUMIFS(Cycle!$E$13:$E$62,Cycle!$A$13:$A$62,$A31)+SUMIFS(Tennis!$D$13:$D$62,Tennis!$A$13:$A$62,$A31),0)</f>
        <v>0</v>
      </c>
    </row>
    <row r="32" spans="1:11" x14ac:dyDescent="0.35">
      <c r="A32" s="23">
        <v>46190</v>
      </c>
      <c r="B32" s="24">
        <f>SUMIFS(Gym!$H$13:$H$62,Gym!$A$13:$A$62,$A32)</f>
        <v>0</v>
      </c>
      <c r="C32" s="24">
        <f>SUMIFS(Workout!$D$13:$D$62,Workout!$A$13:$A$62,$A32)</f>
        <v>0</v>
      </c>
      <c r="D32" s="24">
        <f>SUMIFS(Run!$C$13:$C$62,Run!$A$13:$A$62,$A32)</f>
        <v>0</v>
      </c>
      <c r="E32" s="24">
        <f>SUMIFS(Walk!$C$13:$C$62,Walk!$A$13:$A$62,$A32)</f>
        <v>0</v>
      </c>
      <c r="F32" s="24">
        <f>SUMIFS(Swim!$C$13:$C$62,Swim!$A$13:$A$62,$A32)</f>
        <v>0</v>
      </c>
      <c r="G32" s="24">
        <f>SUMIFS(Cycle!$C$13:$C$62,Cycle!$A$13:$A$62,$A32)</f>
        <v>0</v>
      </c>
      <c r="H32" s="24">
        <f>SUMIFS(Tennis!$B$13:$B$62,Tennis!$A$13:$A$62,$A32)</f>
        <v>0</v>
      </c>
      <c r="I32" s="25">
        <f>SUMIFS(Sauna!$B$13:$B$62,Sauna!$A$13:$A$62,$A32)</f>
        <v>0</v>
      </c>
      <c r="J32" s="26">
        <f t="shared" si="0"/>
        <v>0</v>
      </c>
      <c r="K32" s="24">
        <f>ROUND(SUMIFS(Gym!$I$13:$I$62,Gym!$A$13:$A$62,$A32)+SUMIFS(Workout!$E$13:$E$62,Workout!$A$13:$A$62,$A32)+SUMIFS(Run!$F$13:$F$62,Run!$A$13:$A$62,$A32)+SUMIFS(Walk!$F$13:$F$62,Walk!$A$13:$A$62,$A32)+SUMIFS(Swim!$E$13:$E$62,Swim!$A$13:$A$62,$A32)+SUMIFS(Cycle!$E$13:$E$62,Cycle!$A$13:$A$62,$A32)+SUMIFS(Tennis!$D$13:$D$62,Tennis!$A$13:$A$62,$A32),0)</f>
        <v>0</v>
      </c>
    </row>
    <row r="33" spans="1:11" x14ac:dyDescent="0.35">
      <c r="A33" s="27">
        <v>46191</v>
      </c>
      <c r="B33" s="28">
        <f>SUMIFS(Gym!$H$13:$H$62,Gym!$A$13:$A$62,$A33)</f>
        <v>0</v>
      </c>
      <c r="C33" s="28">
        <f>SUMIFS(Workout!$D$13:$D$62,Workout!$A$13:$A$62,$A33)</f>
        <v>0</v>
      </c>
      <c r="D33" s="28">
        <f>SUMIFS(Run!$C$13:$C$62,Run!$A$13:$A$62,$A33)</f>
        <v>0</v>
      </c>
      <c r="E33" s="28">
        <f>SUMIFS(Walk!$C$13:$C$62,Walk!$A$13:$A$62,$A33)</f>
        <v>0</v>
      </c>
      <c r="F33" s="28">
        <f>SUMIFS(Swim!$C$13:$C$62,Swim!$A$13:$A$62,$A33)</f>
        <v>0</v>
      </c>
      <c r="G33" s="28">
        <f>SUMIFS(Cycle!$C$13:$C$62,Cycle!$A$13:$A$62,$A33)</f>
        <v>0</v>
      </c>
      <c r="H33" s="28">
        <f>SUMIFS(Tennis!$B$13:$B$62,Tennis!$A$13:$A$62,$A33)</f>
        <v>0</v>
      </c>
      <c r="I33" s="29">
        <f>SUMIFS(Sauna!$B$13:$B$62,Sauna!$A$13:$A$62,$A33)</f>
        <v>0</v>
      </c>
      <c r="J33" s="30">
        <f t="shared" si="0"/>
        <v>0</v>
      </c>
      <c r="K33" s="28">
        <f>ROUND(SUMIFS(Gym!$I$13:$I$62,Gym!$A$13:$A$62,$A33)+SUMIFS(Workout!$E$13:$E$62,Workout!$A$13:$A$62,$A33)+SUMIFS(Run!$F$13:$F$62,Run!$A$13:$A$62,$A33)+SUMIFS(Walk!$F$13:$F$62,Walk!$A$13:$A$62,$A33)+SUMIFS(Swim!$E$13:$E$62,Swim!$A$13:$A$62,$A33)+SUMIFS(Cycle!$E$13:$E$62,Cycle!$A$13:$A$62,$A33)+SUMIFS(Tennis!$D$13:$D$62,Tennis!$A$13:$A$62,$A33),0)</f>
        <v>0</v>
      </c>
    </row>
    <row r="34" spans="1:11" x14ac:dyDescent="0.35">
      <c r="A34" s="23">
        <v>46192</v>
      </c>
      <c r="B34" s="24">
        <f>SUMIFS(Gym!$H$13:$H$62,Gym!$A$13:$A$62,$A34)</f>
        <v>0</v>
      </c>
      <c r="C34" s="24">
        <f>SUMIFS(Workout!$D$13:$D$62,Workout!$A$13:$A$62,$A34)</f>
        <v>0</v>
      </c>
      <c r="D34" s="24">
        <f>SUMIFS(Run!$C$13:$C$62,Run!$A$13:$A$62,$A34)</f>
        <v>0</v>
      </c>
      <c r="E34" s="24">
        <f>SUMIFS(Walk!$C$13:$C$62,Walk!$A$13:$A$62,$A34)</f>
        <v>0</v>
      </c>
      <c r="F34" s="24">
        <f>SUMIFS(Swim!$C$13:$C$62,Swim!$A$13:$A$62,$A34)</f>
        <v>0</v>
      </c>
      <c r="G34" s="24">
        <f>SUMIFS(Cycle!$C$13:$C$62,Cycle!$A$13:$A$62,$A34)</f>
        <v>0</v>
      </c>
      <c r="H34" s="24">
        <f>SUMIFS(Tennis!$B$13:$B$62,Tennis!$A$13:$A$62,$A34)</f>
        <v>0</v>
      </c>
      <c r="I34" s="25">
        <f>SUMIFS(Sauna!$B$13:$B$62,Sauna!$A$13:$A$62,$A34)</f>
        <v>0</v>
      </c>
      <c r="J34" s="26">
        <f t="shared" si="0"/>
        <v>0</v>
      </c>
      <c r="K34" s="24">
        <f>ROUND(SUMIFS(Gym!$I$13:$I$62,Gym!$A$13:$A$62,$A34)+SUMIFS(Workout!$E$13:$E$62,Workout!$A$13:$A$62,$A34)+SUMIFS(Run!$F$13:$F$62,Run!$A$13:$A$62,$A34)+SUMIFS(Walk!$F$13:$F$62,Walk!$A$13:$A$62,$A34)+SUMIFS(Swim!$E$13:$E$62,Swim!$A$13:$A$62,$A34)+SUMIFS(Cycle!$E$13:$E$62,Cycle!$A$13:$A$62,$A34)+SUMIFS(Tennis!$D$13:$D$62,Tennis!$A$13:$A$62,$A34),0)</f>
        <v>0</v>
      </c>
    </row>
    <row r="35" spans="1:11" x14ac:dyDescent="0.35">
      <c r="A35" s="27">
        <v>46193</v>
      </c>
      <c r="B35" s="28">
        <f>SUMIFS(Gym!$H$13:$H$62,Gym!$A$13:$A$62,$A35)</f>
        <v>0</v>
      </c>
      <c r="C35" s="28">
        <f>SUMIFS(Workout!$D$13:$D$62,Workout!$A$13:$A$62,$A35)</f>
        <v>0</v>
      </c>
      <c r="D35" s="28">
        <f>SUMIFS(Run!$C$13:$C$62,Run!$A$13:$A$62,$A35)</f>
        <v>0</v>
      </c>
      <c r="E35" s="28">
        <f>SUMIFS(Walk!$C$13:$C$62,Walk!$A$13:$A$62,$A35)</f>
        <v>0</v>
      </c>
      <c r="F35" s="28">
        <f>SUMIFS(Swim!$C$13:$C$62,Swim!$A$13:$A$62,$A35)</f>
        <v>0</v>
      </c>
      <c r="G35" s="28">
        <f>SUMIFS(Cycle!$C$13:$C$62,Cycle!$A$13:$A$62,$A35)</f>
        <v>0</v>
      </c>
      <c r="H35" s="28">
        <f>SUMIFS(Tennis!$B$13:$B$62,Tennis!$A$13:$A$62,$A35)</f>
        <v>0</v>
      </c>
      <c r="I35" s="29">
        <f>SUMIFS(Sauna!$B$13:$B$62,Sauna!$A$13:$A$62,$A35)</f>
        <v>0</v>
      </c>
      <c r="J35" s="30">
        <f t="shared" si="0"/>
        <v>0</v>
      </c>
      <c r="K35" s="28">
        <f>ROUND(SUMIFS(Gym!$I$13:$I$62,Gym!$A$13:$A$62,$A35)+SUMIFS(Workout!$E$13:$E$62,Workout!$A$13:$A$62,$A35)+SUMIFS(Run!$F$13:$F$62,Run!$A$13:$A$62,$A35)+SUMIFS(Walk!$F$13:$F$62,Walk!$A$13:$A$62,$A35)+SUMIFS(Swim!$E$13:$E$62,Swim!$A$13:$A$62,$A35)+SUMIFS(Cycle!$E$13:$E$62,Cycle!$A$13:$A$62,$A35)+SUMIFS(Tennis!$D$13:$D$62,Tennis!$A$13:$A$62,$A35),0)</f>
        <v>0</v>
      </c>
    </row>
    <row r="36" spans="1:11" x14ac:dyDescent="0.35">
      <c r="A36" s="23">
        <v>46194</v>
      </c>
      <c r="B36" s="24">
        <f>SUMIFS(Gym!$H$13:$H$62,Gym!$A$13:$A$62,$A36)</f>
        <v>0</v>
      </c>
      <c r="C36" s="24">
        <f>SUMIFS(Workout!$D$13:$D$62,Workout!$A$13:$A$62,$A36)</f>
        <v>0</v>
      </c>
      <c r="D36" s="24">
        <f>SUMIFS(Run!$C$13:$C$62,Run!$A$13:$A$62,$A36)</f>
        <v>0</v>
      </c>
      <c r="E36" s="24">
        <f>SUMIFS(Walk!$C$13:$C$62,Walk!$A$13:$A$62,$A36)</f>
        <v>0</v>
      </c>
      <c r="F36" s="24">
        <f>SUMIFS(Swim!$C$13:$C$62,Swim!$A$13:$A$62,$A36)</f>
        <v>0</v>
      </c>
      <c r="G36" s="24">
        <f>SUMIFS(Cycle!$C$13:$C$62,Cycle!$A$13:$A$62,$A36)</f>
        <v>0</v>
      </c>
      <c r="H36" s="24">
        <f>SUMIFS(Tennis!$B$13:$B$62,Tennis!$A$13:$A$62,$A36)</f>
        <v>0</v>
      </c>
      <c r="I36" s="25">
        <f>SUMIFS(Sauna!$B$13:$B$62,Sauna!$A$13:$A$62,$A36)</f>
        <v>0</v>
      </c>
      <c r="J36" s="26">
        <f t="shared" si="0"/>
        <v>0</v>
      </c>
      <c r="K36" s="24">
        <f>ROUND(SUMIFS(Gym!$I$13:$I$62,Gym!$A$13:$A$62,$A36)+SUMIFS(Workout!$E$13:$E$62,Workout!$A$13:$A$62,$A36)+SUMIFS(Run!$F$13:$F$62,Run!$A$13:$A$62,$A36)+SUMIFS(Walk!$F$13:$F$62,Walk!$A$13:$A$62,$A36)+SUMIFS(Swim!$E$13:$E$62,Swim!$A$13:$A$62,$A36)+SUMIFS(Cycle!$E$13:$E$62,Cycle!$A$13:$A$62,$A36)+SUMIFS(Tennis!$D$13:$D$62,Tennis!$A$13:$A$62,$A36),0)</f>
        <v>0</v>
      </c>
    </row>
    <row r="37" spans="1:11" x14ac:dyDescent="0.35">
      <c r="A37" s="27">
        <v>46195</v>
      </c>
      <c r="B37" s="28">
        <f>SUMIFS(Gym!$H$13:$H$62,Gym!$A$13:$A$62,$A37)</f>
        <v>0</v>
      </c>
      <c r="C37" s="28">
        <f>SUMIFS(Workout!$D$13:$D$62,Workout!$A$13:$A$62,$A37)</f>
        <v>0</v>
      </c>
      <c r="D37" s="28">
        <f>SUMIFS(Run!$C$13:$C$62,Run!$A$13:$A$62,$A37)</f>
        <v>0</v>
      </c>
      <c r="E37" s="28">
        <f>SUMIFS(Walk!$C$13:$C$62,Walk!$A$13:$A$62,$A37)</f>
        <v>0</v>
      </c>
      <c r="F37" s="28">
        <f>SUMIFS(Swim!$C$13:$C$62,Swim!$A$13:$A$62,$A37)</f>
        <v>0</v>
      </c>
      <c r="G37" s="28">
        <f>SUMIFS(Cycle!$C$13:$C$62,Cycle!$A$13:$A$62,$A37)</f>
        <v>0</v>
      </c>
      <c r="H37" s="28">
        <f>SUMIFS(Tennis!$B$13:$B$62,Tennis!$A$13:$A$62,$A37)</f>
        <v>0</v>
      </c>
      <c r="I37" s="29">
        <f>SUMIFS(Sauna!$B$13:$B$62,Sauna!$A$13:$A$62,$A37)</f>
        <v>0</v>
      </c>
      <c r="J37" s="30">
        <f t="shared" si="0"/>
        <v>0</v>
      </c>
      <c r="K37" s="28">
        <f>ROUND(SUMIFS(Gym!$I$13:$I$62,Gym!$A$13:$A$62,$A37)+SUMIFS(Workout!$E$13:$E$62,Workout!$A$13:$A$62,$A37)+SUMIFS(Run!$F$13:$F$62,Run!$A$13:$A$62,$A37)+SUMIFS(Walk!$F$13:$F$62,Walk!$A$13:$A$62,$A37)+SUMIFS(Swim!$E$13:$E$62,Swim!$A$13:$A$62,$A37)+SUMIFS(Cycle!$E$13:$E$62,Cycle!$A$13:$A$62,$A37)+SUMIFS(Tennis!$D$13:$D$62,Tennis!$A$13:$A$62,$A37),0)</f>
        <v>0</v>
      </c>
    </row>
    <row r="38" spans="1:11" x14ac:dyDescent="0.35">
      <c r="A38" s="23">
        <v>46196</v>
      </c>
      <c r="B38" s="24">
        <f>SUMIFS(Gym!$H$13:$H$62,Gym!$A$13:$A$62,$A38)</f>
        <v>0</v>
      </c>
      <c r="C38" s="24">
        <f>SUMIFS(Workout!$D$13:$D$62,Workout!$A$13:$A$62,$A38)</f>
        <v>0</v>
      </c>
      <c r="D38" s="24">
        <f>SUMIFS(Run!$C$13:$C$62,Run!$A$13:$A$62,$A38)</f>
        <v>0</v>
      </c>
      <c r="E38" s="24">
        <f>SUMIFS(Walk!$C$13:$C$62,Walk!$A$13:$A$62,$A38)</f>
        <v>0</v>
      </c>
      <c r="F38" s="24">
        <f>SUMIFS(Swim!$C$13:$C$62,Swim!$A$13:$A$62,$A38)</f>
        <v>0</v>
      </c>
      <c r="G38" s="24">
        <f>SUMIFS(Cycle!$C$13:$C$62,Cycle!$A$13:$A$62,$A38)</f>
        <v>0</v>
      </c>
      <c r="H38" s="24">
        <f>SUMIFS(Tennis!$B$13:$B$62,Tennis!$A$13:$A$62,$A38)</f>
        <v>0</v>
      </c>
      <c r="I38" s="25">
        <f>SUMIFS(Sauna!$B$13:$B$62,Sauna!$A$13:$A$62,$A38)</f>
        <v>0</v>
      </c>
      <c r="J38" s="26">
        <f t="shared" si="0"/>
        <v>0</v>
      </c>
      <c r="K38" s="24">
        <f>ROUND(SUMIFS(Gym!$I$13:$I$62,Gym!$A$13:$A$62,$A38)+SUMIFS(Workout!$E$13:$E$62,Workout!$A$13:$A$62,$A38)+SUMIFS(Run!$F$13:$F$62,Run!$A$13:$A$62,$A38)+SUMIFS(Walk!$F$13:$F$62,Walk!$A$13:$A$62,$A38)+SUMIFS(Swim!$E$13:$E$62,Swim!$A$13:$A$62,$A38)+SUMIFS(Cycle!$E$13:$E$62,Cycle!$A$13:$A$62,$A38)+SUMIFS(Tennis!$D$13:$D$62,Tennis!$A$13:$A$62,$A38),0)</f>
        <v>0</v>
      </c>
    </row>
    <row r="39" spans="1:11" x14ac:dyDescent="0.35">
      <c r="A39" s="27">
        <v>46197</v>
      </c>
      <c r="B39" s="28">
        <f>SUMIFS(Gym!$H$13:$H$62,Gym!$A$13:$A$62,$A39)</f>
        <v>0</v>
      </c>
      <c r="C39" s="28">
        <f>SUMIFS(Workout!$D$13:$D$62,Workout!$A$13:$A$62,$A39)</f>
        <v>0</v>
      </c>
      <c r="D39" s="28">
        <f>SUMIFS(Run!$C$13:$C$62,Run!$A$13:$A$62,$A39)</f>
        <v>0</v>
      </c>
      <c r="E39" s="28">
        <f>SUMIFS(Walk!$C$13:$C$62,Walk!$A$13:$A$62,$A39)</f>
        <v>0</v>
      </c>
      <c r="F39" s="28">
        <f>SUMIFS(Swim!$C$13:$C$62,Swim!$A$13:$A$62,$A39)</f>
        <v>0</v>
      </c>
      <c r="G39" s="28">
        <f>SUMIFS(Cycle!$C$13:$C$62,Cycle!$A$13:$A$62,$A39)</f>
        <v>0</v>
      </c>
      <c r="H39" s="28">
        <f>SUMIFS(Tennis!$B$13:$B$62,Tennis!$A$13:$A$62,$A39)</f>
        <v>0</v>
      </c>
      <c r="I39" s="29">
        <f>SUMIFS(Sauna!$B$13:$B$62,Sauna!$A$13:$A$62,$A39)</f>
        <v>0</v>
      </c>
      <c r="J39" s="30">
        <f t="shared" si="0"/>
        <v>0</v>
      </c>
      <c r="K39" s="28">
        <f>ROUND(SUMIFS(Gym!$I$13:$I$62,Gym!$A$13:$A$62,$A39)+SUMIFS(Workout!$E$13:$E$62,Workout!$A$13:$A$62,$A39)+SUMIFS(Run!$F$13:$F$62,Run!$A$13:$A$62,$A39)+SUMIFS(Walk!$F$13:$F$62,Walk!$A$13:$A$62,$A39)+SUMIFS(Swim!$E$13:$E$62,Swim!$A$13:$A$62,$A39)+SUMIFS(Cycle!$E$13:$E$62,Cycle!$A$13:$A$62,$A39)+SUMIFS(Tennis!$D$13:$D$62,Tennis!$A$13:$A$62,$A39),0)</f>
        <v>0</v>
      </c>
    </row>
    <row r="40" spans="1:11" x14ac:dyDescent="0.35">
      <c r="A40" s="23">
        <v>46198</v>
      </c>
      <c r="B40" s="24">
        <f>SUMIFS(Gym!$H$13:$H$62,Gym!$A$13:$A$62,$A40)</f>
        <v>0</v>
      </c>
      <c r="C40" s="24">
        <f>SUMIFS(Workout!$D$13:$D$62,Workout!$A$13:$A$62,$A40)</f>
        <v>0</v>
      </c>
      <c r="D40" s="24">
        <f>SUMIFS(Run!$C$13:$C$62,Run!$A$13:$A$62,$A40)</f>
        <v>0</v>
      </c>
      <c r="E40" s="24">
        <f>SUMIFS(Walk!$C$13:$C$62,Walk!$A$13:$A$62,$A40)</f>
        <v>0</v>
      </c>
      <c r="F40" s="24">
        <f>SUMIFS(Swim!$C$13:$C$62,Swim!$A$13:$A$62,$A40)</f>
        <v>0</v>
      </c>
      <c r="G40" s="24">
        <f>SUMIFS(Cycle!$C$13:$C$62,Cycle!$A$13:$A$62,$A40)</f>
        <v>0</v>
      </c>
      <c r="H40" s="24">
        <f>SUMIFS(Tennis!$B$13:$B$62,Tennis!$A$13:$A$62,$A40)</f>
        <v>0</v>
      </c>
      <c r="I40" s="25">
        <f>SUMIFS(Sauna!$B$13:$B$62,Sauna!$A$13:$A$62,$A40)</f>
        <v>0</v>
      </c>
      <c r="J40" s="26">
        <f t="shared" si="0"/>
        <v>0</v>
      </c>
      <c r="K40" s="24">
        <f>ROUND(SUMIFS(Gym!$I$13:$I$62,Gym!$A$13:$A$62,$A40)+SUMIFS(Workout!$E$13:$E$62,Workout!$A$13:$A$62,$A40)+SUMIFS(Run!$F$13:$F$62,Run!$A$13:$A$62,$A40)+SUMIFS(Walk!$F$13:$F$62,Walk!$A$13:$A$62,$A40)+SUMIFS(Swim!$E$13:$E$62,Swim!$A$13:$A$62,$A40)+SUMIFS(Cycle!$E$13:$E$62,Cycle!$A$13:$A$62,$A40)+SUMIFS(Tennis!$D$13:$D$62,Tennis!$A$13:$A$62,$A40),0)</f>
        <v>0</v>
      </c>
    </row>
    <row r="41" spans="1:11" x14ac:dyDescent="0.35">
      <c r="A41" s="27">
        <v>46199</v>
      </c>
      <c r="B41" s="28">
        <f>SUMIFS(Gym!$H$13:$H$62,Gym!$A$13:$A$62,$A41)</f>
        <v>0</v>
      </c>
      <c r="C41" s="28">
        <f>SUMIFS(Workout!$D$13:$D$62,Workout!$A$13:$A$62,$A41)</f>
        <v>0</v>
      </c>
      <c r="D41" s="28">
        <f>SUMIFS(Run!$C$13:$C$62,Run!$A$13:$A$62,$A41)</f>
        <v>0</v>
      </c>
      <c r="E41" s="28">
        <f>SUMIFS(Walk!$C$13:$C$62,Walk!$A$13:$A$62,$A41)</f>
        <v>0</v>
      </c>
      <c r="F41" s="28">
        <f>SUMIFS(Swim!$C$13:$C$62,Swim!$A$13:$A$62,$A41)</f>
        <v>0</v>
      </c>
      <c r="G41" s="28">
        <f>SUMIFS(Cycle!$C$13:$C$62,Cycle!$A$13:$A$62,$A41)</f>
        <v>0</v>
      </c>
      <c r="H41" s="28">
        <f>SUMIFS(Tennis!$B$13:$B$62,Tennis!$A$13:$A$62,$A41)</f>
        <v>0</v>
      </c>
      <c r="I41" s="29">
        <f>SUMIFS(Sauna!$B$13:$B$62,Sauna!$A$13:$A$62,$A41)</f>
        <v>0</v>
      </c>
      <c r="J41" s="30">
        <f t="shared" si="0"/>
        <v>0</v>
      </c>
      <c r="K41" s="28">
        <f>ROUND(SUMIFS(Gym!$I$13:$I$62,Gym!$A$13:$A$62,$A41)+SUMIFS(Workout!$E$13:$E$62,Workout!$A$13:$A$62,$A41)+SUMIFS(Run!$F$13:$F$62,Run!$A$13:$A$62,$A41)+SUMIFS(Walk!$F$13:$F$62,Walk!$A$13:$A$62,$A41)+SUMIFS(Swim!$E$13:$E$62,Swim!$A$13:$A$62,$A41)+SUMIFS(Cycle!$E$13:$E$62,Cycle!$A$13:$A$62,$A41)+SUMIFS(Tennis!$D$13:$D$62,Tennis!$A$13:$A$62,$A41),0)</f>
        <v>0</v>
      </c>
    </row>
    <row r="42" spans="1:11" x14ac:dyDescent="0.35">
      <c r="A42" s="23">
        <v>46200</v>
      </c>
      <c r="B42" s="24">
        <f>SUMIFS(Gym!$H$13:$H$62,Gym!$A$13:$A$62,$A42)</f>
        <v>0</v>
      </c>
      <c r="C42" s="24">
        <f>SUMIFS(Workout!$D$13:$D$62,Workout!$A$13:$A$62,$A42)</f>
        <v>0</v>
      </c>
      <c r="D42" s="24">
        <f>SUMIFS(Run!$C$13:$C$62,Run!$A$13:$A$62,$A42)</f>
        <v>0</v>
      </c>
      <c r="E42" s="24">
        <f>SUMIFS(Walk!$C$13:$C$62,Walk!$A$13:$A$62,$A42)</f>
        <v>0</v>
      </c>
      <c r="F42" s="24">
        <f>SUMIFS(Swim!$C$13:$C$62,Swim!$A$13:$A$62,$A42)</f>
        <v>0</v>
      </c>
      <c r="G42" s="24">
        <f>SUMIFS(Cycle!$C$13:$C$62,Cycle!$A$13:$A$62,$A42)</f>
        <v>0</v>
      </c>
      <c r="H42" s="24">
        <f>SUMIFS(Tennis!$B$13:$B$62,Tennis!$A$13:$A$62,$A42)</f>
        <v>0</v>
      </c>
      <c r="I42" s="25">
        <f>SUMIFS(Sauna!$B$13:$B$62,Sauna!$A$13:$A$62,$A42)</f>
        <v>0</v>
      </c>
      <c r="J42" s="26">
        <f t="shared" si="0"/>
        <v>0</v>
      </c>
      <c r="K42" s="24">
        <f>ROUND(SUMIFS(Gym!$I$13:$I$62,Gym!$A$13:$A$62,$A42)+SUMIFS(Workout!$E$13:$E$62,Workout!$A$13:$A$62,$A42)+SUMIFS(Run!$F$13:$F$62,Run!$A$13:$A$62,$A42)+SUMIFS(Walk!$F$13:$F$62,Walk!$A$13:$A$62,$A42)+SUMIFS(Swim!$E$13:$E$62,Swim!$A$13:$A$62,$A42)+SUMIFS(Cycle!$E$13:$E$62,Cycle!$A$13:$A$62,$A42)+SUMIFS(Tennis!$D$13:$D$62,Tennis!$A$13:$A$62,$A42),0)</f>
        <v>0</v>
      </c>
    </row>
    <row r="43" spans="1:11" x14ac:dyDescent="0.35">
      <c r="A43" s="27">
        <v>46201</v>
      </c>
      <c r="B43" s="28">
        <f>SUMIFS(Gym!$H$13:$H$62,Gym!$A$13:$A$62,$A43)</f>
        <v>0</v>
      </c>
      <c r="C43" s="28">
        <f>SUMIFS(Workout!$D$13:$D$62,Workout!$A$13:$A$62,$A43)</f>
        <v>0</v>
      </c>
      <c r="D43" s="28">
        <f>SUMIFS(Run!$C$13:$C$62,Run!$A$13:$A$62,$A43)</f>
        <v>0</v>
      </c>
      <c r="E43" s="28">
        <f>SUMIFS(Walk!$C$13:$C$62,Walk!$A$13:$A$62,$A43)</f>
        <v>0</v>
      </c>
      <c r="F43" s="28">
        <f>SUMIFS(Swim!$C$13:$C$62,Swim!$A$13:$A$62,$A43)</f>
        <v>0</v>
      </c>
      <c r="G43" s="28">
        <f>SUMIFS(Cycle!$C$13:$C$62,Cycle!$A$13:$A$62,$A43)</f>
        <v>0</v>
      </c>
      <c r="H43" s="28">
        <f>SUMIFS(Tennis!$B$13:$B$62,Tennis!$A$13:$A$62,$A43)</f>
        <v>0</v>
      </c>
      <c r="I43" s="29">
        <f>SUMIFS(Sauna!$B$13:$B$62,Sauna!$A$13:$A$62,$A43)</f>
        <v>0</v>
      </c>
      <c r="J43" s="30">
        <f t="shared" si="0"/>
        <v>0</v>
      </c>
      <c r="K43" s="28">
        <f>ROUND(SUMIFS(Gym!$I$13:$I$62,Gym!$A$13:$A$62,$A43)+SUMIFS(Workout!$E$13:$E$62,Workout!$A$13:$A$62,$A43)+SUMIFS(Run!$F$13:$F$62,Run!$A$13:$A$62,$A43)+SUMIFS(Walk!$F$13:$F$62,Walk!$A$13:$A$62,$A43)+SUMIFS(Swim!$E$13:$E$62,Swim!$A$13:$A$62,$A43)+SUMIFS(Cycle!$E$13:$E$62,Cycle!$A$13:$A$62,$A43)+SUMIFS(Tennis!$D$13:$D$62,Tennis!$A$13:$A$62,$A43),0)</f>
        <v>0</v>
      </c>
    </row>
    <row r="44" spans="1:11" x14ac:dyDescent="0.35">
      <c r="A44" s="23">
        <v>46202</v>
      </c>
      <c r="B44" s="24">
        <f>SUMIFS(Gym!$H$13:$H$62,Gym!$A$13:$A$62,$A44)</f>
        <v>0</v>
      </c>
      <c r="C44" s="24">
        <f>SUMIFS(Workout!$D$13:$D$62,Workout!$A$13:$A$62,$A44)</f>
        <v>0</v>
      </c>
      <c r="D44" s="24">
        <f>SUMIFS(Run!$C$13:$C$62,Run!$A$13:$A$62,$A44)</f>
        <v>0</v>
      </c>
      <c r="E44" s="24">
        <f>SUMIFS(Walk!$C$13:$C$62,Walk!$A$13:$A$62,$A44)</f>
        <v>0</v>
      </c>
      <c r="F44" s="24">
        <f>SUMIFS(Swim!$C$13:$C$62,Swim!$A$13:$A$62,$A44)</f>
        <v>0</v>
      </c>
      <c r="G44" s="24">
        <f>SUMIFS(Cycle!$C$13:$C$62,Cycle!$A$13:$A$62,$A44)</f>
        <v>0</v>
      </c>
      <c r="H44" s="24">
        <f>SUMIFS(Tennis!$B$13:$B$62,Tennis!$A$13:$A$62,$A44)</f>
        <v>0</v>
      </c>
      <c r="I44" s="25">
        <f>SUMIFS(Sauna!$B$13:$B$62,Sauna!$A$13:$A$62,$A44)</f>
        <v>0</v>
      </c>
      <c r="J44" s="26">
        <f t="shared" si="0"/>
        <v>0</v>
      </c>
      <c r="K44" s="24">
        <f>ROUND(SUMIFS(Gym!$I$13:$I$62,Gym!$A$13:$A$62,$A44)+SUMIFS(Workout!$E$13:$E$62,Workout!$A$13:$A$62,$A44)+SUMIFS(Run!$F$13:$F$62,Run!$A$13:$A$62,$A44)+SUMIFS(Walk!$F$13:$F$62,Walk!$A$13:$A$62,$A44)+SUMIFS(Swim!$E$13:$E$62,Swim!$A$13:$A$62,$A44)+SUMIFS(Cycle!$E$13:$E$62,Cycle!$A$13:$A$62,$A44)+SUMIFS(Tennis!$D$13:$D$62,Tennis!$A$13:$A$62,$A44),0)</f>
        <v>0</v>
      </c>
    </row>
    <row r="45" spans="1:11" x14ac:dyDescent="0.35">
      <c r="A45" s="27">
        <v>46203</v>
      </c>
      <c r="B45" s="28">
        <f>SUMIFS(Gym!$H$13:$H$62,Gym!$A$13:$A$62,$A45)</f>
        <v>0</v>
      </c>
      <c r="C45" s="28">
        <f>SUMIFS(Workout!$D$13:$D$62,Workout!$A$13:$A$62,$A45)</f>
        <v>0</v>
      </c>
      <c r="D45" s="28">
        <f>SUMIFS(Run!$C$13:$C$62,Run!$A$13:$A$62,$A45)</f>
        <v>0</v>
      </c>
      <c r="E45" s="28">
        <f>SUMIFS(Walk!$C$13:$C$62,Walk!$A$13:$A$62,$A45)</f>
        <v>0</v>
      </c>
      <c r="F45" s="28">
        <f>SUMIFS(Swim!$C$13:$C$62,Swim!$A$13:$A$62,$A45)</f>
        <v>0</v>
      </c>
      <c r="G45" s="28">
        <f>SUMIFS(Cycle!$C$13:$C$62,Cycle!$A$13:$A$62,$A45)</f>
        <v>0</v>
      </c>
      <c r="H45" s="28">
        <f>SUMIFS(Tennis!$B$13:$B$62,Tennis!$A$13:$A$62,$A45)</f>
        <v>0</v>
      </c>
      <c r="I45" s="29">
        <f>SUMIFS(Sauna!$B$13:$B$62,Sauna!$A$13:$A$62,$A45)</f>
        <v>0</v>
      </c>
      <c r="J45" s="30">
        <f t="shared" si="0"/>
        <v>0</v>
      </c>
      <c r="K45" s="28">
        <f>ROUND(SUMIFS(Gym!$I$13:$I$62,Gym!$A$13:$A$62,$A45)+SUMIFS(Workout!$E$13:$E$62,Workout!$A$13:$A$62,$A45)+SUMIFS(Run!$F$13:$F$62,Run!$A$13:$A$62,$A45)+SUMIFS(Walk!$F$13:$F$62,Walk!$A$13:$A$62,$A45)+SUMIFS(Swim!$E$13:$E$62,Swim!$A$13:$A$62,$A45)+SUMIFS(Cycle!$E$13:$E$62,Cycle!$A$13:$A$62,$A45)+SUMIFS(Tennis!$D$13:$D$62,Tennis!$A$13:$A$62,$A45),0)</f>
        <v>0</v>
      </c>
    </row>
    <row r="46" spans="1:11" x14ac:dyDescent="0.35">
      <c r="A46" s="23">
        <v>46204</v>
      </c>
      <c r="B46" s="24">
        <f>SUMIFS(Gym!$H$13:$H$62,Gym!$A$13:$A$62,$A46)</f>
        <v>0</v>
      </c>
      <c r="C46" s="24">
        <f>SUMIFS(Workout!$D$13:$D$62,Workout!$A$13:$A$62,$A46)</f>
        <v>0</v>
      </c>
      <c r="D46" s="24">
        <f>SUMIFS(Run!$C$13:$C$62,Run!$A$13:$A$62,$A46)</f>
        <v>0</v>
      </c>
      <c r="E46" s="24">
        <f>SUMIFS(Walk!$C$13:$C$62,Walk!$A$13:$A$62,$A46)</f>
        <v>0</v>
      </c>
      <c r="F46" s="24">
        <f>SUMIFS(Swim!$C$13:$C$62,Swim!$A$13:$A$62,$A46)</f>
        <v>0</v>
      </c>
      <c r="G46" s="24">
        <f>SUMIFS(Cycle!$C$13:$C$62,Cycle!$A$13:$A$62,$A46)</f>
        <v>0</v>
      </c>
      <c r="H46" s="24">
        <f>SUMIFS(Tennis!$B$13:$B$62,Tennis!$A$13:$A$62,$A46)</f>
        <v>0</v>
      </c>
      <c r="I46" s="25">
        <f>SUMIFS(Sauna!$B$13:$B$62,Sauna!$A$13:$A$62,$A46)</f>
        <v>0</v>
      </c>
      <c r="J46" s="26">
        <f t="shared" si="0"/>
        <v>0</v>
      </c>
      <c r="K46" s="24">
        <f>ROUND(SUMIFS(Gym!$I$13:$I$62,Gym!$A$13:$A$62,$A46)+SUMIFS(Workout!$E$13:$E$62,Workout!$A$13:$A$62,$A46)+SUMIFS(Run!$F$13:$F$62,Run!$A$13:$A$62,$A46)+SUMIFS(Walk!$F$13:$F$62,Walk!$A$13:$A$62,$A46)+SUMIFS(Swim!$E$13:$E$62,Swim!$A$13:$A$62,$A46)+SUMIFS(Cycle!$E$13:$E$62,Cycle!$A$13:$A$62,$A46)+SUMIFS(Tennis!$D$13:$D$62,Tennis!$A$13:$A$62,$A46),0)</f>
        <v>0</v>
      </c>
    </row>
    <row r="47" spans="1:11" x14ac:dyDescent="0.35">
      <c r="A47" s="27">
        <v>46205</v>
      </c>
      <c r="B47" s="28">
        <f>SUMIFS(Gym!$H$13:$H$62,Gym!$A$13:$A$62,$A47)</f>
        <v>0</v>
      </c>
      <c r="C47" s="28">
        <f>SUMIFS(Workout!$D$13:$D$62,Workout!$A$13:$A$62,$A47)</f>
        <v>0</v>
      </c>
      <c r="D47" s="28">
        <f>SUMIFS(Run!$C$13:$C$62,Run!$A$13:$A$62,$A47)</f>
        <v>0</v>
      </c>
      <c r="E47" s="28">
        <f>SUMIFS(Walk!$C$13:$C$62,Walk!$A$13:$A$62,$A47)</f>
        <v>0</v>
      </c>
      <c r="F47" s="28">
        <f>SUMIFS(Swim!$C$13:$C$62,Swim!$A$13:$A$62,$A47)</f>
        <v>0</v>
      </c>
      <c r="G47" s="28">
        <f>SUMIFS(Cycle!$C$13:$C$62,Cycle!$A$13:$A$62,$A47)</f>
        <v>0</v>
      </c>
      <c r="H47" s="28">
        <f>SUMIFS(Tennis!$B$13:$B$62,Tennis!$A$13:$A$62,$A47)</f>
        <v>0</v>
      </c>
      <c r="I47" s="29">
        <f>SUMIFS(Sauna!$B$13:$B$62,Sauna!$A$13:$A$62,$A47)</f>
        <v>0</v>
      </c>
      <c r="J47" s="30">
        <f t="shared" si="0"/>
        <v>0</v>
      </c>
      <c r="K47" s="28">
        <f>ROUND(SUMIFS(Gym!$I$13:$I$62,Gym!$A$13:$A$62,$A47)+SUMIFS(Workout!$E$13:$E$62,Workout!$A$13:$A$62,$A47)+SUMIFS(Run!$F$13:$F$62,Run!$A$13:$A$62,$A47)+SUMIFS(Walk!$F$13:$F$62,Walk!$A$13:$A$62,$A47)+SUMIFS(Swim!$E$13:$E$62,Swim!$A$13:$A$62,$A47)+SUMIFS(Cycle!$E$13:$E$62,Cycle!$A$13:$A$62,$A47)+SUMIFS(Tennis!$D$13:$D$62,Tennis!$A$13:$A$62,$A47),0)</f>
        <v>0</v>
      </c>
    </row>
    <row r="48" spans="1:11" x14ac:dyDescent="0.35">
      <c r="A48" s="23">
        <v>46206</v>
      </c>
      <c r="B48" s="24">
        <f>SUMIFS(Gym!$H$13:$H$62,Gym!$A$13:$A$62,$A48)</f>
        <v>0</v>
      </c>
      <c r="C48" s="24">
        <f>SUMIFS(Workout!$D$13:$D$62,Workout!$A$13:$A$62,$A48)</f>
        <v>0</v>
      </c>
      <c r="D48" s="24">
        <f>SUMIFS(Run!$C$13:$C$62,Run!$A$13:$A$62,$A48)</f>
        <v>0</v>
      </c>
      <c r="E48" s="24">
        <f>SUMIFS(Walk!$C$13:$C$62,Walk!$A$13:$A$62,$A48)</f>
        <v>0</v>
      </c>
      <c r="F48" s="24">
        <f>SUMIFS(Swim!$C$13:$C$62,Swim!$A$13:$A$62,$A48)</f>
        <v>0</v>
      </c>
      <c r="G48" s="24">
        <f>SUMIFS(Cycle!$C$13:$C$62,Cycle!$A$13:$A$62,$A48)</f>
        <v>0</v>
      </c>
      <c r="H48" s="24">
        <f>SUMIFS(Tennis!$B$13:$B$62,Tennis!$A$13:$A$62,$A48)</f>
        <v>0</v>
      </c>
      <c r="I48" s="25">
        <f>SUMIFS(Sauna!$B$13:$B$62,Sauna!$A$13:$A$62,$A48)</f>
        <v>0</v>
      </c>
      <c r="J48" s="26">
        <f t="shared" si="0"/>
        <v>0</v>
      </c>
      <c r="K48" s="24">
        <f>ROUND(SUMIFS(Gym!$I$13:$I$62,Gym!$A$13:$A$62,$A48)+SUMIFS(Workout!$E$13:$E$62,Workout!$A$13:$A$62,$A48)+SUMIFS(Run!$F$13:$F$62,Run!$A$13:$A$62,$A48)+SUMIFS(Walk!$F$13:$F$62,Walk!$A$13:$A$62,$A48)+SUMIFS(Swim!$E$13:$E$62,Swim!$A$13:$A$62,$A48)+SUMIFS(Cycle!$E$13:$E$62,Cycle!$A$13:$A$62,$A48)+SUMIFS(Tennis!$D$13:$D$62,Tennis!$A$13:$A$62,$A48),0)</f>
        <v>0</v>
      </c>
    </row>
    <row r="49" spans="1:11" x14ac:dyDescent="0.35">
      <c r="A49" s="27">
        <v>46207</v>
      </c>
      <c r="B49" s="28">
        <f>SUMIFS(Gym!$H$13:$H$62,Gym!$A$13:$A$62,$A49)</f>
        <v>0</v>
      </c>
      <c r="C49" s="28">
        <f>SUMIFS(Workout!$D$13:$D$62,Workout!$A$13:$A$62,$A49)</f>
        <v>0</v>
      </c>
      <c r="D49" s="28">
        <f>SUMIFS(Run!$C$13:$C$62,Run!$A$13:$A$62,$A49)</f>
        <v>0</v>
      </c>
      <c r="E49" s="28">
        <f>SUMIFS(Walk!$C$13:$C$62,Walk!$A$13:$A$62,$A49)</f>
        <v>0</v>
      </c>
      <c r="F49" s="28">
        <f>SUMIFS(Swim!$C$13:$C$62,Swim!$A$13:$A$62,$A49)</f>
        <v>0</v>
      </c>
      <c r="G49" s="28">
        <f>SUMIFS(Cycle!$C$13:$C$62,Cycle!$A$13:$A$62,$A49)</f>
        <v>0</v>
      </c>
      <c r="H49" s="28">
        <f>SUMIFS(Tennis!$B$13:$B$62,Tennis!$A$13:$A$62,$A49)</f>
        <v>0</v>
      </c>
      <c r="I49" s="29">
        <f>SUMIFS(Sauna!$B$13:$B$62,Sauna!$A$13:$A$62,$A49)</f>
        <v>0</v>
      </c>
      <c r="J49" s="30">
        <f t="shared" si="0"/>
        <v>0</v>
      </c>
      <c r="K49" s="28">
        <f>ROUND(SUMIFS(Gym!$I$13:$I$62,Gym!$A$13:$A$62,$A49)+SUMIFS(Workout!$E$13:$E$62,Workout!$A$13:$A$62,$A49)+SUMIFS(Run!$F$13:$F$62,Run!$A$13:$A$62,$A49)+SUMIFS(Walk!$F$13:$F$62,Walk!$A$13:$A$62,$A49)+SUMIFS(Swim!$E$13:$E$62,Swim!$A$13:$A$62,$A49)+SUMIFS(Cycle!$E$13:$E$62,Cycle!$A$13:$A$62,$A49)+SUMIFS(Tennis!$D$13:$D$62,Tennis!$A$13:$A$62,$A49),0)</f>
        <v>0</v>
      </c>
    </row>
    <row r="50" spans="1:11" x14ac:dyDescent="0.35">
      <c r="A50" s="23">
        <v>46208</v>
      </c>
      <c r="B50" s="24">
        <f>SUMIFS(Gym!$H$13:$H$62,Gym!$A$13:$A$62,$A50)</f>
        <v>0</v>
      </c>
      <c r="C50" s="24">
        <f>SUMIFS(Workout!$D$13:$D$62,Workout!$A$13:$A$62,$A50)</f>
        <v>0</v>
      </c>
      <c r="D50" s="24">
        <f>SUMIFS(Run!$C$13:$C$62,Run!$A$13:$A$62,$A50)</f>
        <v>0</v>
      </c>
      <c r="E50" s="24">
        <f>SUMIFS(Walk!$C$13:$C$62,Walk!$A$13:$A$62,$A50)</f>
        <v>0</v>
      </c>
      <c r="F50" s="24">
        <f>SUMIFS(Swim!$C$13:$C$62,Swim!$A$13:$A$62,$A50)</f>
        <v>0</v>
      </c>
      <c r="G50" s="24">
        <f>SUMIFS(Cycle!$C$13:$C$62,Cycle!$A$13:$A$62,$A50)</f>
        <v>0</v>
      </c>
      <c r="H50" s="24">
        <f>SUMIFS(Tennis!$B$13:$B$62,Tennis!$A$13:$A$62,$A50)</f>
        <v>0</v>
      </c>
      <c r="I50" s="25">
        <f>SUMIFS(Sauna!$B$13:$B$62,Sauna!$A$13:$A$62,$A50)</f>
        <v>0</v>
      </c>
      <c r="J50" s="26">
        <f t="shared" si="0"/>
        <v>0</v>
      </c>
      <c r="K50" s="24">
        <f>ROUND(SUMIFS(Gym!$I$13:$I$62,Gym!$A$13:$A$62,$A50)+SUMIFS(Workout!$E$13:$E$62,Workout!$A$13:$A$62,$A50)+SUMIFS(Run!$F$13:$F$62,Run!$A$13:$A$62,$A50)+SUMIFS(Walk!$F$13:$F$62,Walk!$A$13:$A$62,$A50)+SUMIFS(Swim!$E$13:$E$62,Swim!$A$13:$A$62,$A50)+SUMIFS(Cycle!$E$13:$E$62,Cycle!$A$13:$A$62,$A50)+SUMIFS(Tennis!$D$13:$D$62,Tennis!$A$13:$A$62,$A50),0)</f>
        <v>0</v>
      </c>
    </row>
    <row r="51" spans="1:11" x14ac:dyDescent="0.35">
      <c r="A51" s="27">
        <v>46209</v>
      </c>
      <c r="B51" s="28">
        <f>SUMIFS(Gym!$H$13:$H$62,Gym!$A$13:$A$62,$A51)</f>
        <v>0</v>
      </c>
      <c r="C51" s="28">
        <f>SUMIFS(Workout!$D$13:$D$62,Workout!$A$13:$A$62,$A51)</f>
        <v>0</v>
      </c>
      <c r="D51" s="28">
        <f>SUMIFS(Run!$C$13:$C$62,Run!$A$13:$A$62,$A51)</f>
        <v>0</v>
      </c>
      <c r="E51" s="28">
        <f>SUMIFS(Walk!$C$13:$C$62,Walk!$A$13:$A$62,$A51)</f>
        <v>0</v>
      </c>
      <c r="F51" s="28">
        <f>SUMIFS(Swim!$C$13:$C$62,Swim!$A$13:$A$62,$A51)</f>
        <v>0</v>
      </c>
      <c r="G51" s="28">
        <f>SUMIFS(Cycle!$C$13:$C$62,Cycle!$A$13:$A$62,$A51)</f>
        <v>0</v>
      </c>
      <c r="H51" s="28">
        <f>SUMIFS(Tennis!$B$13:$B$62,Tennis!$A$13:$A$62,$A51)</f>
        <v>0</v>
      </c>
      <c r="I51" s="29">
        <f>SUMIFS(Sauna!$B$13:$B$62,Sauna!$A$13:$A$62,$A51)</f>
        <v>0</v>
      </c>
      <c r="J51" s="30">
        <f t="shared" si="0"/>
        <v>0</v>
      </c>
      <c r="K51" s="28">
        <f>ROUND(SUMIFS(Gym!$I$13:$I$62,Gym!$A$13:$A$62,$A51)+SUMIFS(Workout!$E$13:$E$62,Workout!$A$13:$A$62,$A51)+SUMIFS(Run!$F$13:$F$62,Run!$A$13:$A$62,$A51)+SUMIFS(Walk!$F$13:$F$62,Walk!$A$13:$A$62,$A51)+SUMIFS(Swim!$E$13:$E$62,Swim!$A$13:$A$62,$A51)+SUMIFS(Cycle!$E$13:$E$62,Cycle!$A$13:$A$62,$A51)+SUMIFS(Tennis!$D$13:$D$62,Tennis!$A$13:$A$62,$A51),0)</f>
        <v>0</v>
      </c>
    </row>
    <row r="52" spans="1:11" x14ac:dyDescent="0.35">
      <c r="A52" s="23">
        <v>46210</v>
      </c>
      <c r="B52" s="24">
        <f>SUMIFS(Gym!$H$13:$H$62,Gym!$A$13:$A$62,$A52)</f>
        <v>0</v>
      </c>
      <c r="C52" s="24">
        <f>SUMIFS(Workout!$D$13:$D$62,Workout!$A$13:$A$62,$A52)</f>
        <v>0</v>
      </c>
      <c r="D52" s="24">
        <f>SUMIFS(Run!$C$13:$C$62,Run!$A$13:$A$62,$A52)</f>
        <v>0</v>
      </c>
      <c r="E52" s="24">
        <f>SUMIFS(Walk!$C$13:$C$62,Walk!$A$13:$A$62,$A52)</f>
        <v>0</v>
      </c>
      <c r="F52" s="24">
        <f>SUMIFS(Swim!$C$13:$C$62,Swim!$A$13:$A$62,$A52)</f>
        <v>0</v>
      </c>
      <c r="G52" s="24">
        <f>SUMIFS(Cycle!$C$13:$C$62,Cycle!$A$13:$A$62,$A52)</f>
        <v>0</v>
      </c>
      <c r="H52" s="24">
        <f>SUMIFS(Tennis!$B$13:$B$62,Tennis!$A$13:$A$62,$A52)</f>
        <v>0</v>
      </c>
      <c r="I52" s="25">
        <f>SUMIFS(Sauna!$B$13:$B$62,Sauna!$A$13:$A$62,$A52)</f>
        <v>0</v>
      </c>
      <c r="J52" s="26">
        <f t="shared" si="0"/>
        <v>0</v>
      </c>
      <c r="K52" s="24">
        <f>ROUND(SUMIFS(Gym!$I$13:$I$62,Gym!$A$13:$A$62,$A52)+SUMIFS(Workout!$E$13:$E$62,Workout!$A$13:$A$62,$A52)+SUMIFS(Run!$F$13:$F$62,Run!$A$13:$A$62,$A52)+SUMIFS(Walk!$F$13:$F$62,Walk!$A$13:$A$62,$A52)+SUMIFS(Swim!$E$13:$E$62,Swim!$A$13:$A$62,$A52)+SUMIFS(Cycle!$E$13:$E$62,Cycle!$A$13:$A$62,$A52)+SUMIFS(Tennis!$D$13:$D$62,Tennis!$A$13:$A$62,$A52),0)</f>
        <v>0</v>
      </c>
    </row>
    <row r="53" spans="1:11" x14ac:dyDescent="0.35">
      <c r="A53" s="27">
        <v>46211</v>
      </c>
      <c r="B53" s="28">
        <f>SUMIFS(Gym!$H$13:$H$62,Gym!$A$13:$A$62,$A53)</f>
        <v>0</v>
      </c>
      <c r="C53" s="28">
        <f>SUMIFS(Workout!$D$13:$D$62,Workout!$A$13:$A$62,$A53)</f>
        <v>0</v>
      </c>
      <c r="D53" s="28">
        <f>SUMIFS(Run!$C$13:$C$62,Run!$A$13:$A$62,$A53)</f>
        <v>0</v>
      </c>
      <c r="E53" s="28">
        <f>SUMIFS(Walk!$C$13:$C$62,Walk!$A$13:$A$62,$A53)</f>
        <v>0</v>
      </c>
      <c r="F53" s="28">
        <f>SUMIFS(Swim!$C$13:$C$62,Swim!$A$13:$A$62,$A53)</f>
        <v>0</v>
      </c>
      <c r="G53" s="28">
        <f>SUMIFS(Cycle!$C$13:$C$62,Cycle!$A$13:$A$62,$A53)</f>
        <v>0</v>
      </c>
      <c r="H53" s="28">
        <f>SUMIFS(Tennis!$B$13:$B$62,Tennis!$A$13:$A$62,$A53)</f>
        <v>0</v>
      </c>
      <c r="I53" s="29">
        <f>SUMIFS(Sauna!$B$13:$B$62,Sauna!$A$13:$A$62,$A53)</f>
        <v>0</v>
      </c>
      <c r="J53" s="30">
        <f t="shared" si="0"/>
        <v>0</v>
      </c>
      <c r="K53" s="28">
        <f>ROUND(SUMIFS(Gym!$I$13:$I$62,Gym!$A$13:$A$62,$A53)+SUMIFS(Workout!$E$13:$E$62,Workout!$A$13:$A$62,$A53)+SUMIFS(Run!$F$13:$F$62,Run!$A$13:$A$62,$A53)+SUMIFS(Walk!$F$13:$F$62,Walk!$A$13:$A$62,$A53)+SUMIFS(Swim!$E$13:$E$62,Swim!$A$13:$A$62,$A53)+SUMIFS(Cycle!$E$13:$E$62,Cycle!$A$13:$A$62,$A53)+SUMIFS(Tennis!$D$13:$D$62,Tennis!$A$13:$A$62,$A53),0)</f>
        <v>0</v>
      </c>
    </row>
    <row r="54" spans="1:11" x14ac:dyDescent="0.35">
      <c r="A54" s="23">
        <v>46212</v>
      </c>
      <c r="B54" s="24">
        <f>SUMIFS(Gym!$H$13:$H$62,Gym!$A$13:$A$62,$A54)</f>
        <v>0</v>
      </c>
      <c r="C54" s="24">
        <f>SUMIFS(Workout!$D$13:$D$62,Workout!$A$13:$A$62,$A54)</f>
        <v>0</v>
      </c>
      <c r="D54" s="24">
        <f>SUMIFS(Run!$C$13:$C$62,Run!$A$13:$A$62,$A54)</f>
        <v>0</v>
      </c>
      <c r="E54" s="24">
        <f>SUMIFS(Walk!$C$13:$C$62,Walk!$A$13:$A$62,$A54)</f>
        <v>0</v>
      </c>
      <c r="F54" s="24">
        <f>SUMIFS(Swim!$C$13:$C$62,Swim!$A$13:$A$62,$A54)</f>
        <v>0</v>
      </c>
      <c r="G54" s="24">
        <f>SUMIFS(Cycle!$C$13:$C$62,Cycle!$A$13:$A$62,$A54)</f>
        <v>0</v>
      </c>
      <c r="H54" s="24">
        <f>SUMIFS(Tennis!$B$13:$B$62,Tennis!$A$13:$A$62,$A54)</f>
        <v>0</v>
      </c>
      <c r="I54" s="25">
        <f>SUMIFS(Sauna!$B$13:$B$62,Sauna!$A$13:$A$62,$A54)</f>
        <v>0</v>
      </c>
      <c r="J54" s="26">
        <f t="shared" si="0"/>
        <v>0</v>
      </c>
      <c r="K54" s="24">
        <f>ROUND(SUMIFS(Gym!$I$13:$I$62,Gym!$A$13:$A$62,$A54)+SUMIFS(Workout!$E$13:$E$62,Workout!$A$13:$A$62,$A54)+SUMIFS(Run!$F$13:$F$62,Run!$A$13:$A$62,$A54)+SUMIFS(Walk!$F$13:$F$62,Walk!$A$13:$A$62,$A54)+SUMIFS(Swim!$E$13:$E$62,Swim!$A$13:$A$62,$A54)+SUMIFS(Cycle!$E$13:$E$62,Cycle!$A$13:$A$62,$A54)+SUMIFS(Tennis!$D$13:$D$62,Tennis!$A$13:$A$62,$A54),0)</f>
        <v>0</v>
      </c>
    </row>
    <row r="55" spans="1:11" x14ac:dyDescent="0.35">
      <c r="A55" s="27">
        <v>46213</v>
      </c>
      <c r="B55" s="28">
        <f>SUMIFS(Gym!$H$13:$H$62,Gym!$A$13:$A$62,$A55)</f>
        <v>0</v>
      </c>
      <c r="C55" s="28">
        <f>SUMIFS(Workout!$D$13:$D$62,Workout!$A$13:$A$62,$A55)</f>
        <v>0</v>
      </c>
      <c r="D55" s="28">
        <f>SUMIFS(Run!$C$13:$C$62,Run!$A$13:$A$62,$A55)</f>
        <v>0</v>
      </c>
      <c r="E55" s="28">
        <f>SUMIFS(Walk!$C$13:$C$62,Walk!$A$13:$A$62,$A55)</f>
        <v>0</v>
      </c>
      <c r="F55" s="28">
        <f>SUMIFS(Swim!$C$13:$C$62,Swim!$A$13:$A$62,$A55)</f>
        <v>0</v>
      </c>
      <c r="G55" s="28">
        <f>SUMIFS(Cycle!$C$13:$C$62,Cycle!$A$13:$A$62,$A55)</f>
        <v>0</v>
      </c>
      <c r="H55" s="28">
        <f>SUMIFS(Tennis!$B$13:$B$62,Tennis!$A$13:$A$62,$A55)</f>
        <v>0</v>
      </c>
      <c r="I55" s="29">
        <f>SUMIFS(Sauna!$B$13:$B$62,Sauna!$A$13:$A$62,$A55)</f>
        <v>0</v>
      </c>
      <c r="J55" s="30">
        <f t="shared" si="0"/>
        <v>0</v>
      </c>
      <c r="K55" s="28">
        <f>ROUND(SUMIFS(Gym!$I$13:$I$62,Gym!$A$13:$A$62,$A55)+SUMIFS(Workout!$E$13:$E$62,Workout!$A$13:$A$62,$A55)+SUMIFS(Run!$F$13:$F$62,Run!$A$13:$A$62,$A55)+SUMIFS(Walk!$F$13:$F$62,Walk!$A$13:$A$62,$A55)+SUMIFS(Swim!$E$13:$E$62,Swim!$A$13:$A$62,$A55)+SUMIFS(Cycle!$E$13:$E$62,Cycle!$A$13:$A$62,$A55)+SUMIFS(Tennis!$D$13:$D$62,Tennis!$A$13:$A$62,$A55),0)</f>
        <v>0</v>
      </c>
    </row>
    <row r="56" spans="1:11" x14ac:dyDescent="0.35">
      <c r="A56" s="23">
        <v>46214</v>
      </c>
      <c r="B56" s="24">
        <f>SUMIFS(Gym!$H$13:$H$62,Gym!$A$13:$A$62,$A56)</f>
        <v>0</v>
      </c>
      <c r="C56" s="24">
        <f>SUMIFS(Workout!$D$13:$D$62,Workout!$A$13:$A$62,$A56)</f>
        <v>0</v>
      </c>
      <c r="D56" s="24">
        <f>SUMIFS(Run!$C$13:$C$62,Run!$A$13:$A$62,$A56)</f>
        <v>0</v>
      </c>
      <c r="E56" s="24">
        <f>SUMIFS(Walk!$C$13:$C$62,Walk!$A$13:$A$62,$A56)</f>
        <v>0</v>
      </c>
      <c r="F56" s="24">
        <f>SUMIFS(Swim!$C$13:$C$62,Swim!$A$13:$A$62,$A56)</f>
        <v>0</v>
      </c>
      <c r="G56" s="24">
        <f>SUMIFS(Cycle!$C$13:$C$62,Cycle!$A$13:$A$62,$A56)</f>
        <v>0</v>
      </c>
      <c r="H56" s="24">
        <f>SUMIFS(Tennis!$B$13:$B$62,Tennis!$A$13:$A$62,$A56)</f>
        <v>0</v>
      </c>
      <c r="I56" s="25">
        <f>SUMIFS(Sauna!$B$13:$B$62,Sauna!$A$13:$A$62,$A56)</f>
        <v>0</v>
      </c>
      <c r="J56" s="26">
        <f t="shared" si="0"/>
        <v>0</v>
      </c>
      <c r="K56" s="24">
        <f>ROUND(SUMIFS(Gym!$I$13:$I$62,Gym!$A$13:$A$62,$A56)+SUMIFS(Workout!$E$13:$E$62,Workout!$A$13:$A$62,$A56)+SUMIFS(Run!$F$13:$F$62,Run!$A$13:$A$62,$A56)+SUMIFS(Walk!$F$13:$F$62,Walk!$A$13:$A$62,$A56)+SUMIFS(Swim!$E$13:$E$62,Swim!$A$13:$A$62,$A56)+SUMIFS(Cycle!$E$13:$E$62,Cycle!$A$13:$A$62,$A56)+SUMIFS(Tennis!$D$13:$D$62,Tennis!$A$13:$A$62,$A56),0)</f>
        <v>0</v>
      </c>
    </row>
    <row r="57" spans="1:11" x14ac:dyDescent="0.35">
      <c r="A57" s="27">
        <v>46215</v>
      </c>
      <c r="B57" s="28">
        <f>SUMIFS(Gym!$H$13:$H$62,Gym!$A$13:$A$62,$A57)</f>
        <v>0</v>
      </c>
      <c r="C57" s="28">
        <f>SUMIFS(Workout!$D$13:$D$62,Workout!$A$13:$A$62,$A57)</f>
        <v>0</v>
      </c>
      <c r="D57" s="28">
        <f>SUMIFS(Run!$C$13:$C$62,Run!$A$13:$A$62,$A57)</f>
        <v>0</v>
      </c>
      <c r="E57" s="28">
        <f>SUMIFS(Walk!$C$13:$C$62,Walk!$A$13:$A$62,$A57)</f>
        <v>0</v>
      </c>
      <c r="F57" s="28">
        <f>SUMIFS(Swim!$C$13:$C$62,Swim!$A$13:$A$62,$A57)</f>
        <v>0</v>
      </c>
      <c r="G57" s="28">
        <f>SUMIFS(Cycle!$C$13:$C$62,Cycle!$A$13:$A$62,$A57)</f>
        <v>0</v>
      </c>
      <c r="H57" s="28">
        <f>SUMIFS(Tennis!$B$13:$B$62,Tennis!$A$13:$A$62,$A57)</f>
        <v>0</v>
      </c>
      <c r="I57" s="29">
        <f>SUMIFS(Sauna!$B$13:$B$62,Sauna!$A$13:$A$62,$A57)</f>
        <v>0</v>
      </c>
      <c r="J57" s="30">
        <f t="shared" si="0"/>
        <v>0</v>
      </c>
      <c r="K57" s="28">
        <f>ROUND(SUMIFS(Gym!$I$13:$I$62,Gym!$A$13:$A$62,$A57)+SUMIFS(Workout!$E$13:$E$62,Workout!$A$13:$A$62,$A57)+SUMIFS(Run!$F$13:$F$62,Run!$A$13:$A$62,$A57)+SUMIFS(Walk!$F$13:$F$62,Walk!$A$13:$A$62,$A57)+SUMIFS(Swim!$E$13:$E$62,Swim!$A$13:$A$62,$A57)+SUMIFS(Cycle!$E$13:$E$62,Cycle!$A$13:$A$62,$A57)+SUMIFS(Tennis!$D$13:$D$62,Tennis!$A$13:$A$62,$A57),0)</f>
        <v>0</v>
      </c>
    </row>
    <row r="58" spans="1:11" x14ac:dyDescent="0.35">
      <c r="A58" s="23">
        <v>46216</v>
      </c>
      <c r="B58" s="24">
        <f>SUMIFS(Gym!$H$13:$H$62,Gym!$A$13:$A$62,$A58)</f>
        <v>0</v>
      </c>
      <c r="C58" s="24">
        <f>SUMIFS(Workout!$D$13:$D$62,Workout!$A$13:$A$62,$A58)</f>
        <v>0</v>
      </c>
      <c r="D58" s="24">
        <f>SUMIFS(Run!$C$13:$C$62,Run!$A$13:$A$62,$A58)</f>
        <v>0</v>
      </c>
      <c r="E58" s="24">
        <f>SUMIFS(Walk!$C$13:$C$62,Walk!$A$13:$A$62,$A58)</f>
        <v>0</v>
      </c>
      <c r="F58" s="24">
        <f>SUMIFS(Swim!$C$13:$C$62,Swim!$A$13:$A$62,$A58)</f>
        <v>0</v>
      </c>
      <c r="G58" s="24">
        <f>SUMIFS(Cycle!$C$13:$C$62,Cycle!$A$13:$A$62,$A58)</f>
        <v>0</v>
      </c>
      <c r="H58" s="24">
        <f>SUMIFS(Tennis!$B$13:$B$62,Tennis!$A$13:$A$62,$A58)</f>
        <v>0</v>
      </c>
      <c r="I58" s="25">
        <f>SUMIFS(Sauna!$B$13:$B$62,Sauna!$A$13:$A$62,$A58)</f>
        <v>0</v>
      </c>
      <c r="J58" s="26">
        <f t="shared" si="0"/>
        <v>0</v>
      </c>
      <c r="K58" s="24">
        <f>ROUND(SUMIFS(Gym!$I$13:$I$62,Gym!$A$13:$A$62,$A58)+SUMIFS(Workout!$E$13:$E$62,Workout!$A$13:$A$62,$A58)+SUMIFS(Run!$F$13:$F$62,Run!$A$13:$A$62,$A58)+SUMIFS(Walk!$F$13:$F$62,Walk!$A$13:$A$62,$A58)+SUMIFS(Swim!$E$13:$E$62,Swim!$A$13:$A$62,$A58)+SUMIFS(Cycle!$E$13:$E$62,Cycle!$A$13:$A$62,$A58)+SUMIFS(Tennis!$D$13:$D$62,Tennis!$A$13:$A$62,$A58),0)</f>
        <v>0</v>
      </c>
    </row>
    <row r="59" spans="1:11" x14ac:dyDescent="0.35">
      <c r="A59" s="27">
        <v>46217</v>
      </c>
      <c r="B59" s="28">
        <f>SUMIFS(Gym!$H$13:$H$62,Gym!$A$13:$A$62,$A59)</f>
        <v>0</v>
      </c>
      <c r="C59" s="28">
        <f>SUMIFS(Workout!$D$13:$D$62,Workout!$A$13:$A$62,$A59)</f>
        <v>0</v>
      </c>
      <c r="D59" s="28">
        <f>SUMIFS(Run!$C$13:$C$62,Run!$A$13:$A$62,$A59)</f>
        <v>0</v>
      </c>
      <c r="E59" s="28">
        <f>SUMIFS(Walk!$C$13:$C$62,Walk!$A$13:$A$62,$A59)</f>
        <v>0</v>
      </c>
      <c r="F59" s="28">
        <f>SUMIFS(Swim!$C$13:$C$62,Swim!$A$13:$A$62,$A59)</f>
        <v>0</v>
      </c>
      <c r="G59" s="28">
        <f>SUMIFS(Cycle!$C$13:$C$62,Cycle!$A$13:$A$62,$A59)</f>
        <v>0</v>
      </c>
      <c r="H59" s="28">
        <f>SUMIFS(Tennis!$B$13:$B$62,Tennis!$A$13:$A$62,$A59)</f>
        <v>0</v>
      </c>
      <c r="I59" s="29">
        <f>SUMIFS(Sauna!$B$13:$B$62,Sauna!$A$13:$A$62,$A59)</f>
        <v>0</v>
      </c>
      <c r="J59" s="30">
        <f t="shared" si="0"/>
        <v>0</v>
      </c>
      <c r="K59" s="28">
        <f>ROUND(SUMIFS(Gym!$I$13:$I$62,Gym!$A$13:$A$62,$A59)+SUMIFS(Workout!$E$13:$E$62,Workout!$A$13:$A$62,$A59)+SUMIFS(Run!$F$13:$F$62,Run!$A$13:$A$62,$A59)+SUMIFS(Walk!$F$13:$F$62,Walk!$A$13:$A$62,$A59)+SUMIFS(Swim!$E$13:$E$62,Swim!$A$13:$A$62,$A59)+SUMIFS(Cycle!$E$13:$E$62,Cycle!$A$13:$A$62,$A59)+SUMIFS(Tennis!$D$13:$D$62,Tennis!$A$13:$A$62,$A59),0)</f>
        <v>0</v>
      </c>
    </row>
    <row r="60" spans="1:11" x14ac:dyDescent="0.35">
      <c r="A60" s="23">
        <v>46218</v>
      </c>
      <c r="B60" s="24">
        <f>SUMIFS(Gym!$H$13:$H$62,Gym!$A$13:$A$62,$A60)</f>
        <v>0</v>
      </c>
      <c r="C60" s="24">
        <f>SUMIFS(Workout!$D$13:$D$62,Workout!$A$13:$A$62,$A60)</f>
        <v>0</v>
      </c>
      <c r="D60" s="24">
        <f>SUMIFS(Run!$C$13:$C$62,Run!$A$13:$A$62,$A60)</f>
        <v>0</v>
      </c>
      <c r="E60" s="24">
        <f>SUMIFS(Walk!$C$13:$C$62,Walk!$A$13:$A$62,$A60)</f>
        <v>0</v>
      </c>
      <c r="F60" s="24">
        <f>SUMIFS(Swim!$C$13:$C$62,Swim!$A$13:$A$62,$A60)</f>
        <v>0</v>
      </c>
      <c r="G60" s="24">
        <f>SUMIFS(Cycle!$C$13:$C$62,Cycle!$A$13:$A$62,$A60)</f>
        <v>0</v>
      </c>
      <c r="H60" s="24">
        <f>SUMIFS(Tennis!$B$13:$B$62,Tennis!$A$13:$A$62,$A60)</f>
        <v>0</v>
      </c>
      <c r="I60" s="25">
        <f>SUMIFS(Sauna!$B$13:$B$62,Sauna!$A$13:$A$62,$A60)</f>
        <v>0</v>
      </c>
      <c r="J60" s="26">
        <f t="shared" ref="J60:J91" si="1">SUM(B60:H60)</f>
        <v>0</v>
      </c>
      <c r="K60" s="24">
        <f>ROUND(SUMIFS(Gym!$I$13:$I$62,Gym!$A$13:$A$62,$A60)+SUMIFS(Workout!$E$13:$E$62,Workout!$A$13:$A$62,$A60)+SUMIFS(Run!$F$13:$F$62,Run!$A$13:$A$62,$A60)+SUMIFS(Walk!$F$13:$F$62,Walk!$A$13:$A$62,$A60)+SUMIFS(Swim!$E$13:$E$62,Swim!$A$13:$A$62,$A60)+SUMIFS(Cycle!$E$13:$E$62,Cycle!$A$13:$A$62,$A60)+SUMIFS(Tennis!$D$13:$D$62,Tennis!$A$13:$A$62,$A60),0)</f>
        <v>0</v>
      </c>
    </row>
    <row r="61" spans="1:11" x14ac:dyDescent="0.35">
      <c r="A61" s="27">
        <v>46219</v>
      </c>
      <c r="B61" s="28">
        <f>SUMIFS(Gym!$H$13:$H$62,Gym!$A$13:$A$62,$A61)</f>
        <v>0</v>
      </c>
      <c r="C61" s="28">
        <f>SUMIFS(Workout!$D$13:$D$62,Workout!$A$13:$A$62,$A61)</f>
        <v>0</v>
      </c>
      <c r="D61" s="28">
        <f>SUMIFS(Run!$C$13:$C$62,Run!$A$13:$A$62,$A61)</f>
        <v>0</v>
      </c>
      <c r="E61" s="28">
        <f>SUMIFS(Walk!$C$13:$C$62,Walk!$A$13:$A$62,$A61)</f>
        <v>0</v>
      </c>
      <c r="F61" s="28">
        <f>SUMIFS(Swim!$C$13:$C$62,Swim!$A$13:$A$62,$A61)</f>
        <v>0</v>
      </c>
      <c r="G61" s="28">
        <f>SUMIFS(Cycle!$C$13:$C$62,Cycle!$A$13:$A$62,$A61)</f>
        <v>0</v>
      </c>
      <c r="H61" s="28">
        <f>SUMIFS(Tennis!$B$13:$B$62,Tennis!$A$13:$A$62,$A61)</f>
        <v>0</v>
      </c>
      <c r="I61" s="29">
        <f>SUMIFS(Sauna!$B$13:$B$62,Sauna!$A$13:$A$62,$A61)</f>
        <v>0</v>
      </c>
      <c r="J61" s="30">
        <f t="shared" si="1"/>
        <v>0</v>
      </c>
      <c r="K61" s="28">
        <f>ROUND(SUMIFS(Gym!$I$13:$I$62,Gym!$A$13:$A$62,$A61)+SUMIFS(Workout!$E$13:$E$62,Workout!$A$13:$A$62,$A61)+SUMIFS(Run!$F$13:$F$62,Run!$A$13:$A$62,$A61)+SUMIFS(Walk!$F$13:$F$62,Walk!$A$13:$A$62,$A61)+SUMIFS(Swim!$E$13:$E$62,Swim!$A$13:$A$62,$A61)+SUMIFS(Cycle!$E$13:$E$62,Cycle!$A$13:$A$62,$A61)+SUMIFS(Tennis!$D$13:$D$62,Tennis!$A$13:$A$62,$A61),0)</f>
        <v>0</v>
      </c>
    </row>
    <row r="62" spans="1:11" x14ac:dyDescent="0.35">
      <c r="A62" s="23">
        <v>46220</v>
      </c>
      <c r="B62" s="24">
        <f>SUMIFS(Gym!$H$13:$H$62,Gym!$A$13:$A$62,$A62)</f>
        <v>0</v>
      </c>
      <c r="C62" s="24">
        <f>SUMIFS(Workout!$D$13:$D$62,Workout!$A$13:$A$62,$A62)</f>
        <v>0</v>
      </c>
      <c r="D62" s="24">
        <f>SUMIFS(Run!$C$13:$C$62,Run!$A$13:$A$62,$A62)</f>
        <v>0</v>
      </c>
      <c r="E62" s="24">
        <f>SUMIFS(Walk!$C$13:$C$62,Walk!$A$13:$A$62,$A62)</f>
        <v>0</v>
      </c>
      <c r="F62" s="24">
        <f>SUMIFS(Swim!$C$13:$C$62,Swim!$A$13:$A$62,$A62)</f>
        <v>0</v>
      </c>
      <c r="G62" s="24">
        <f>SUMIFS(Cycle!$C$13:$C$62,Cycle!$A$13:$A$62,$A62)</f>
        <v>0</v>
      </c>
      <c r="H62" s="24">
        <f>SUMIFS(Tennis!$B$13:$B$62,Tennis!$A$13:$A$62,$A62)</f>
        <v>0</v>
      </c>
      <c r="I62" s="25">
        <f>SUMIFS(Sauna!$B$13:$B$62,Sauna!$A$13:$A$62,$A62)</f>
        <v>0</v>
      </c>
      <c r="J62" s="26">
        <f t="shared" si="1"/>
        <v>0</v>
      </c>
      <c r="K62" s="24">
        <f>ROUND(SUMIFS(Gym!$I$13:$I$62,Gym!$A$13:$A$62,$A62)+SUMIFS(Workout!$E$13:$E$62,Workout!$A$13:$A$62,$A62)+SUMIFS(Run!$F$13:$F$62,Run!$A$13:$A$62,$A62)+SUMIFS(Walk!$F$13:$F$62,Walk!$A$13:$A$62,$A62)+SUMIFS(Swim!$E$13:$E$62,Swim!$A$13:$A$62,$A62)+SUMIFS(Cycle!$E$13:$E$62,Cycle!$A$13:$A$62,$A62)+SUMIFS(Tennis!$D$13:$D$62,Tennis!$A$13:$A$62,$A62),0)</f>
        <v>0</v>
      </c>
    </row>
    <row r="63" spans="1:11" x14ac:dyDescent="0.35">
      <c r="A63" s="27">
        <v>46221</v>
      </c>
      <c r="B63" s="28">
        <f>SUMIFS(Gym!$H$13:$H$62,Gym!$A$13:$A$62,$A63)</f>
        <v>0</v>
      </c>
      <c r="C63" s="28">
        <f>SUMIFS(Workout!$D$13:$D$62,Workout!$A$13:$A$62,$A63)</f>
        <v>0</v>
      </c>
      <c r="D63" s="28">
        <f>SUMIFS(Run!$C$13:$C$62,Run!$A$13:$A$62,$A63)</f>
        <v>0</v>
      </c>
      <c r="E63" s="28">
        <f>SUMIFS(Walk!$C$13:$C$62,Walk!$A$13:$A$62,$A63)</f>
        <v>0</v>
      </c>
      <c r="F63" s="28">
        <f>SUMIFS(Swim!$C$13:$C$62,Swim!$A$13:$A$62,$A63)</f>
        <v>0</v>
      </c>
      <c r="G63" s="28">
        <f>SUMIFS(Cycle!$C$13:$C$62,Cycle!$A$13:$A$62,$A63)</f>
        <v>0</v>
      </c>
      <c r="H63" s="28">
        <f>SUMIFS(Tennis!$B$13:$B$62,Tennis!$A$13:$A$62,$A63)</f>
        <v>0</v>
      </c>
      <c r="I63" s="29">
        <f>SUMIFS(Sauna!$B$13:$B$62,Sauna!$A$13:$A$62,$A63)</f>
        <v>0</v>
      </c>
      <c r="J63" s="30">
        <f t="shared" si="1"/>
        <v>0</v>
      </c>
      <c r="K63" s="28">
        <f>ROUND(SUMIFS(Gym!$I$13:$I$62,Gym!$A$13:$A$62,$A63)+SUMIFS(Workout!$E$13:$E$62,Workout!$A$13:$A$62,$A63)+SUMIFS(Run!$F$13:$F$62,Run!$A$13:$A$62,$A63)+SUMIFS(Walk!$F$13:$F$62,Walk!$A$13:$A$62,$A63)+SUMIFS(Swim!$E$13:$E$62,Swim!$A$13:$A$62,$A63)+SUMIFS(Cycle!$E$13:$E$62,Cycle!$A$13:$A$62,$A63)+SUMIFS(Tennis!$D$13:$D$62,Tennis!$A$13:$A$62,$A63),0)</f>
        <v>0</v>
      </c>
    </row>
    <row r="64" spans="1:11" x14ac:dyDescent="0.35">
      <c r="A64" s="23">
        <v>46222</v>
      </c>
      <c r="B64" s="24">
        <f>SUMIFS(Gym!$H$13:$H$62,Gym!$A$13:$A$62,$A64)</f>
        <v>0</v>
      </c>
      <c r="C64" s="24">
        <f>SUMIFS(Workout!$D$13:$D$62,Workout!$A$13:$A$62,$A64)</f>
        <v>0</v>
      </c>
      <c r="D64" s="24">
        <f>SUMIFS(Run!$C$13:$C$62,Run!$A$13:$A$62,$A64)</f>
        <v>0</v>
      </c>
      <c r="E64" s="24">
        <f>SUMIFS(Walk!$C$13:$C$62,Walk!$A$13:$A$62,$A64)</f>
        <v>0</v>
      </c>
      <c r="F64" s="24">
        <f>SUMIFS(Swim!$C$13:$C$62,Swim!$A$13:$A$62,$A64)</f>
        <v>0</v>
      </c>
      <c r="G64" s="24">
        <f>SUMIFS(Cycle!$C$13:$C$62,Cycle!$A$13:$A$62,$A64)</f>
        <v>0</v>
      </c>
      <c r="H64" s="24">
        <f>SUMIFS(Tennis!$B$13:$B$62,Tennis!$A$13:$A$62,$A64)</f>
        <v>0</v>
      </c>
      <c r="I64" s="25">
        <f>SUMIFS(Sauna!$B$13:$B$62,Sauna!$A$13:$A$62,$A64)</f>
        <v>0</v>
      </c>
      <c r="J64" s="26">
        <f t="shared" si="1"/>
        <v>0</v>
      </c>
      <c r="K64" s="24">
        <f>ROUND(SUMIFS(Gym!$I$13:$I$62,Gym!$A$13:$A$62,$A64)+SUMIFS(Workout!$E$13:$E$62,Workout!$A$13:$A$62,$A64)+SUMIFS(Run!$F$13:$F$62,Run!$A$13:$A$62,$A64)+SUMIFS(Walk!$F$13:$F$62,Walk!$A$13:$A$62,$A64)+SUMIFS(Swim!$E$13:$E$62,Swim!$A$13:$A$62,$A64)+SUMIFS(Cycle!$E$13:$E$62,Cycle!$A$13:$A$62,$A64)+SUMIFS(Tennis!$D$13:$D$62,Tennis!$A$13:$A$62,$A64),0)</f>
        <v>0</v>
      </c>
    </row>
    <row r="65" spans="1:11" x14ac:dyDescent="0.35">
      <c r="A65" s="27">
        <v>46223</v>
      </c>
      <c r="B65" s="28">
        <f>SUMIFS(Gym!$H$13:$H$62,Gym!$A$13:$A$62,$A65)</f>
        <v>0</v>
      </c>
      <c r="C65" s="28">
        <f>SUMIFS(Workout!$D$13:$D$62,Workout!$A$13:$A$62,$A65)</f>
        <v>0</v>
      </c>
      <c r="D65" s="28">
        <f>SUMIFS(Run!$C$13:$C$62,Run!$A$13:$A$62,$A65)</f>
        <v>0</v>
      </c>
      <c r="E65" s="28">
        <f>SUMIFS(Walk!$C$13:$C$62,Walk!$A$13:$A$62,$A65)</f>
        <v>0</v>
      </c>
      <c r="F65" s="28">
        <f>SUMIFS(Swim!$C$13:$C$62,Swim!$A$13:$A$62,$A65)</f>
        <v>0</v>
      </c>
      <c r="G65" s="28">
        <f>SUMIFS(Cycle!$C$13:$C$62,Cycle!$A$13:$A$62,$A65)</f>
        <v>0</v>
      </c>
      <c r="H65" s="28">
        <f>SUMIFS(Tennis!$B$13:$B$62,Tennis!$A$13:$A$62,$A65)</f>
        <v>0</v>
      </c>
      <c r="I65" s="29">
        <f>SUMIFS(Sauna!$B$13:$B$62,Sauna!$A$13:$A$62,$A65)</f>
        <v>0</v>
      </c>
      <c r="J65" s="30">
        <f t="shared" si="1"/>
        <v>0</v>
      </c>
      <c r="K65" s="28">
        <f>ROUND(SUMIFS(Gym!$I$13:$I$62,Gym!$A$13:$A$62,$A65)+SUMIFS(Workout!$E$13:$E$62,Workout!$A$13:$A$62,$A65)+SUMIFS(Run!$F$13:$F$62,Run!$A$13:$A$62,$A65)+SUMIFS(Walk!$F$13:$F$62,Walk!$A$13:$A$62,$A65)+SUMIFS(Swim!$E$13:$E$62,Swim!$A$13:$A$62,$A65)+SUMIFS(Cycle!$E$13:$E$62,Cycle!$A$13:$A$62,$A65)+SUMIFS(Tennis!$D$13:$D$62,Tennis!$A$13:$A$62,$A65),0)</f>
        <v>0</v>
      </c>
    </row>
    <row r="66" spans="1:11" x14ac:dyDescent="0.35">
      <c r="A66" s="23">
        <v>46224</v>
      </c>
      <c r="B66" s="24">
        <f>SUMIFS(Gym!$H$13:$H$62,Gym!$A$13:$A$62,$A66)</f>
        <v>0</v>
      </c>
      <c r="C66" s="24">
        <f>SUMIFS(Workout!$D$13:$D$62,Workout!$A$13:$A$62,$A66)</f>
        <v>0</v>
      </c>
      <c r="D66" s="24">
        <f>SUMIFS(Run!$C$13:$C$62,Run!$A$13:$A$62,$A66)</f>
        <v>0</v>
      </c>
      <c r="E66" s="24">
        <f>SUMIFS(Walk!$C$13:$C$62,Walk!$A$13:$A$62,$A66)</f>
        <v>0</v>
      </c>
      <c r="F66" s="24">
        <f>SUMIFS(Swim!$C$13:$C$62,Swim!$A$13:$A$62,$A66)</f>
        <v>0</v>
      </c>
      <c r="G66" s="24">
        <f>SUMIFS(Cycle!$C$13:$C$62,Cycle!$A$13:$A$62,$A66)</f>
        <v>0</v>
      </c>
      <c r="H66" s="24">
        <f>SUMIFS(Tennis!$B$13:$B$62,Tennis!$A$13:$A$62,$A66)</f>
        <v>0</v>
      </c>
      <c r="I66" s="25">
        <f>SUMIFS(Sauna!$B$13:$B$62,Sauna!$A$13:$A$62,$A66)</f>
        <v>0</v>
      </c>
      <c r="J66" s="26">
        <f t="shared" si="1"/>
        <v>0</v>
      </c>
      <c r="K66" s="24">
        <f>ROUND(SUMIFS(Gym!$I$13:$I$62,Gym!$A$13:$A$62,$A66)+SUMIFS(Workout!$E$13:$E$62,Workout!$A$13:$A$62,$A66)+SUMIFS(Run!$F$13:$F$62,Run!$A$13:$A$62,$A66)+SUMIFS(Walk!$F$13:$F$62,Walk!$A$13:$A$62,$A66)+SUMIFS(Swim!$E$13:$E$62,Swim!$A$13:$A$62,$A66)+SUMIFS(Cycle!$E$13:$E$62,Cycle!$A$13:$A$62,$A66)+SUMIFS(Tennis!$D$13:$D$62,Tennis!$A$13:$A$62,$A66),0)</f>
        <v>0</v>
      </c>
    </row>
    <row r="67" spans="1:11" x14ac:dyDescent="0.35">
      <c r="A67" s="27">
        <v>46225</v>
      </c>
      <c r="B67" s="28">
        <f>SUMIFS(Gym!$H$13:$H$62,Gym!$A$13:$A$62,$A67)</f>
        <v>0</v>
      </c>
      <c r="C67" s="28">
        <f>SUMIFS(Workout!$D$13:$D$62,Workout!$A$13:$A$62,$A67)</f>
        <v>0</v>
      </c>
      <c r="D67" s="28">
        <f>SUMIFS(Run!$C$13:$C$62,Run!$A$13:$A$62,$A67)</f>
        <v>0</v>
      </c>
      <c r="E67" s="28">
        <f>SUMIFS(Walk!$C$13:$C$62,Walk!$A$13:$A$62,$A67)</f>
        <v>0</v>
      </c>
      <c r="F67" s="28">
        <f>SUMIFS(Swim!$C$13:$C$62,Swim!$A$13:$A$62,$A67)</f>
        <v>0</v>
      </c>
      <c r="G67" s="28">
        <f>SUMIFS(Cycle!$C$13:$C$62,Cycle!$A$13:$A$62,$A67)</f>
        <v>0</v>
      </c>
      <c r="H67" s="28">
        <f>SUMIFS(Tennis!$B$13:$B$62,Tennis!$A$13:$A$62,$A67)</f>
        <v>0</v>
      </c>
      <c r="I67" s="29">
        <f>SUMIFS(Sauna!$B$13:$B$62,Sauna!$A$13:$A$62,$A67)</f>
        <v>0</v>
      </c>
      <c r="J67" s="30">
        <f t="shared" si="1"/>
        <v>0</v>
      </c>
      <c r="K67" s="28">
        <f>ROUND(SUMIFS(Gym!$I$13:$I$62,Gym!$A$13:$A$62,$A67)+SUMIFS(Workout!$E$13:$E$62,Workout!$A$13:$A$62,$A67)+SUMIFS(Run!$F$13:$F$62,Run!$A$13:$A$62,$A67)+SUMIFS(Walk!$F$13:$F$62,Walk!$A$13:$A$62,$A67)+SUMIFS(Swim!$E$13:$E$62,Swim!$A$13:$A$62,$A67)+SUMIFS(Cycle!$E$13:$E$62,Cycle!$A$13:$A$62,$A67)+SUMIFS(Tennis!$D$13:$D$62,Tennis!$A$13:$A$62,$A67),0)</f>
        <v>0</v>
      </c>
    </row>
    <row r="68" spans="1:11" x14ac:dyDescent="0.35">
      <c r="A68" s="23">
        <v>46226</v>
      </c>
      <c r="B68" s="24">
        <f>SUMIFS(Gym!$H$13:$H$62,Gym!$A$13:$A$62,$A68)</f>
        <v>0</v>
      </c>
      <c r="C68" s="24">
        <f>SUMIFS(Workout!$D$13:$D$62,Workout!$A$13:$A$62,$A68)</f>
        <v>0</v>
      </c>
      <c r="D68" s="24">
        <f>SUMIFS(Run!$C$13:$C$62,Run!$A$13:$A$62,$A68)</f>
        <v>0</v>
      </c>
      <c r="E68" s="24">
        <f>SUMIFS(Walk!$C$13:$C$62,Walk!$A$13:$A$62,$A68)</f>
        <v>0</v>
      </c>
      <c r="F68" s="24">
        <f>SUMIFS(Swim!$C$13:$C$62,Swim!$A$13:$A$62,$A68)</f>
        <v>0</v>
      </c>
      <c r="G68" s="24">
        <f>SUMIFS(Cycle!$C$13:$C$62,Cycle!$A$13:$A$62,$A68)</f>
        <v>0</v>
      </c>
      <c r="H68" s="24">
        <f>SUMIFS(Tennis!$B$13:$B$62,Tennis!$A$13:$A$62,$A68)</f>
        <v>0</v>
      </c>
      <c r="I68" s="25">
        <f>SUMIFS(Sauna!$B$13:$B$62,Sauna!$A$13:$A$62,$A68)</f>
        <v>0</v>
      </c>
      <c r="J68" s="26">
        <f t="shared" si="1"/>
        <v>0</v>
      </c>
      <c r="K68" s="24">
        <f>ROUND(SUMIFS(Gym!$I$13:$I$62,Gym!$A$13:$A$62,$A68)+SUMIFS(Workout!$E$13:$E$62,Workout!$A$13:$A$62,$A68)+SUMIFS(Run!$F$13:$F$62,Run!$A$13:$A$62,$A68)+SUMIFS(Walk!$F$13:$F$62,Walk!$A$13:$A$62,$A68)+SUMIFS(Swim!$E$13:$E$62,Swim!$A$13:$A$62,$A68)+SUMIFS(Cycle!$E$13:$E$62,Cycle!$A$13:$A$62,$A68)+SUMIFS(Tennis!$D$13:$D$62,Tennis!$A$13:$A$62,$A68),0)</f>
        <v>0</v>
      </c>
    </row>
    <row r="69" spans="1:11" x14ac:dyDescent="0.35">
      <c r="A69" s="27">
        <v>46227</v>
      </c>
      <c r="B69" s="28">
        <f>SUMIFS(Gym!$H$13:$H$62,Gym!$A$13:$A$62,$A69)</f>
        <v>0</v>
      </c>
      <c r="C69" s="28">
        <f>SUMIFS(Workout!$D$13:$D$62,Workout!$A$13:$A$62,$A69)</f>
        <v>0</v>
      </c>
      <c r="D69" s="28">
        <f>SUMIFS(Run!$C$13:$C$62,Run!$A$13:$A$62,$A69)</f>
        <v>0</v>
      </c>
      <c r="E69" s="28">
        <f>SUMIFS(Walk!$C$13:$C$62,Walk!$A$13:$A$62,$A69)</f>
        <v>0</v>
      </c>
      <c r="F69" s="28">
        <f>SUMIFS(Swim!$C$13:$C$62,Swim!$A$13:$A$62,$A69)</f>
        <v>0</v>
      </c>
      <c r="G69" s="28">
        <f>SUMIFS(Cycle!$C$13:$C$62,Cycle!$A$13:$A$62,$A69)</f>
        <v>0</v>
      </c>
      <c r="H69" s="28">
        <f>SUMIFS(Tennis!$B$13:$B$62,Tennis!$A$13:$A$62,$A69)</f>
        <v>0</v>
      </c>
      <c r="I69" s="29">
        <f>SUMIFS(Sauna!$B$13:$B$62,Sauna!$A$13:$A$62,$A69)</f>
        <v>0</v>
      </c>
      <c r="J69" s="30">
        <f t="shared" si="1"/>
        <v>0</v>
      </c>
      <c r="K69" s="28">
        <f>ROUND(SUMIFS(Gym!$I$13:$I$62,Gym!$A$13:$A$62,$A69)+SUMIFS(Workout!$E$13:$E$62,Workout!$A$13:$A$62,$A69)+SUMIFS(Run!$F$13:$F$62,Run!$A$13:$A$62,$A69)+SUMIFS(Walk!$F$13:$F$62,Walk!$A$13:$A$62,$A69)+SUMIFS(Swim!$E$13:$E$62,Swim!$A$13:$A$62,$A69)+SUMIFS(Cycle!$E$13:$E$62,Cycle!$A$13:$A$62,$A69)+SUMIFS(Tennis!$D$13:$D$62,Tennis!$A$13:$A$62,$A69),0)</f>
        <v>0</v>
      </c>
    </row>
    <row r="70" spans="1:11" x14ac:dyDescent="0.35">
      <c r="A70" s="23">
        <v>46228</v>
      </c>
      <c r="B70" s="24">
        <f>SUMIFS(Gym!$H$13:$H$62,Gym!$A$13:$A$62,$A70)</f>
        <v>0</v>
      </c>
      <c r="C70" s="24">
        <f>SUMIFS(Workout!$D$13:$D$62,Workout!$A$13:$A$62,$A70)</f>
        <v>0</v>
      </c>
      <c r="D70" s="24">
        <f>SUMIFS(Run!$C$13:$C$62,Run!$A$13:$A$62,$A70)</f>
        <v>0</v>
      </c>
      <c r="E70" s="24">
        <f>SUMIFS(Walk!$C$13:$C$62,Walk!$A$13:$A$62,$A70)</f>
        <v>0</v>
      </c>
      <c r="F70" s="24">
        <f>SUMIFS(Swim!$C$13:$C$62,Swim!$A$13:$A$62,$A70)</f>
        <v>0</v>
      </c>
      <c r="G70" s="24">
        <f>SUMIFS(Cycle!$C$13:$C$62,Cycle!$A$13:$A$62,$A70)</f>
        <v>0</v>
      </c>
      <c r="H70" s="24">
        <f>SUMIFS(Tennis!$B$13:$B$62,Tennis!$A$13:$A$62,$A70)</f>
        <v>0</v>
      </c>
      <c r="I70" s="25">
        <f>SUMIFS(Sauna!$B$13:$B$62,Sauna!$A$13:$A$62,$A70)</f>
        <v>0</v>
      </c>
      <c r="J70" s="26">
        <f t="shared" si="1"/>
        <v>0</v>
      </c>
      <c r="K70" s="24">
        <f>ROUND(SUMIFS(Gym!$I$13:$I$62,Gym!$A$13:$A$62,$A70)+SUMIFS(Workout!$E$13:$E$62,Workout!$A$13:$A$62,$A70)+SUMIFS(Run!$F$13:$F$62,Run!$A$13:$A$62,$A70)+SUMIFS(Walk!$F$13:$F$62,Walk!$A$13:$A$62,$A70)+SUMIFS(Swim!$E$13:$E$62,Swim!$A$13:$A$62,$A70)+SUMIFS(Cycle!$E$13:$E$62,Cycle!$A$13:$A$62,$A70)+SUMIFS(Tennis!$D$13:$D$62,Tennis!$A$13:$A$62,$A70),0)</f>
        <v>0</v>
      </c>
    </row>
    <row r="71" spans="1:11" x14ac:dyDescent="0.35">
      <c r="A71" s="27">
        <v>46229</v>
      </c>
      <c r="B71" s="28">
        <f>SUMIFS(Gym!$H$13:$H$62,Gym!$A$13:$A$62,$A71)</f>
        <v>0</v>
      </c>
      <c r="C71" s="28">
        <f>SUMIFS(Workout!$D$13:$D$62,Workout!$A$13:$A$62,$A71)</f>
        <v>0</v>
      </c>
      <c r="D71" s="28">
        <f>SUMIFS(Run!$C$13:$C$62,Run!$A$13:$A$62,$A71)</f>
        <v>0</v>
      </c>
      <c r="E71" s="28">
        <f>SUMIFS(Walk!$C$13:$C$62,Walk!$A$13:$A$62,$A71)</f>
        <v>0</v>
      </c>
      <c r="F71" s="28">
        <f>SUMIFS(Swim!$C$13:$C$62,Swim!$A$13:$A$62,$A71)</f>
        <v>0</v>
      </c>
      <c r="G71" s="28">
        <f>SUMIFS(Cycle!$C$13:$C$62,Cycle!$A$13:$A$62,$A71)</f>
        <v>0</v>
      </c>
      <c r="H71" s="28">
        <f>SUMIFS(Tennis!$B$13:$B$62,Tennis!$A$13:$A$62,$A71)</f>
        <v>0</v>
      </c>
      <c r="I71" s="29">
        <f>SUMIFS(Sauna!$B$13:$B$62,Sauna!$A$13:$A$62,$A71)</f>
        <v>0</v>
      </c>
      <c r="J71" s="30">
        <f t="shared" si="1"/>
        <v>0</v>
      </c>
      <c r="K71" s="28">
        <f>ROUND(SUMIFS(Gym!$I$13:$I$62,Gym!$A$13:$A$62,$A71)+SUMIFS(Workout!$E$13:$E$62,Workout!$A$13:$A$62,$A71)+SUMIFS(Run!$F$13:$F$62,Run!$A$13:$A$62,$A71)+SUMIFS(Walk!$F$13:$F$62,Walk!$A$13:$A$62,$A71)+SUMIFS(Swim!$E$13:$E$62,Swim!$A$13:$A$62,$A71)+SUMIFS(Cycle!$E$13:$E$62,Cycle!$A$13:$A$62,$A71)+SUMIFS(Tennis!$D$13:$D$62,Tennis!$A$13:$A$62,$A71),0)</f>
        <v>0</v>
      </c>
    </row>
    <row r="72" spans="1:11" x14ac:dyDescent="0.35">
      <c r="A72" s="23">
        <v>46230</v>
      </c>
      <c r="B72" s="24">
        <f>SUMIFS(Gym!$H$13:$H$62,Gym!$A$13:$A$62,$A72)</f>
        <v>0</v>
      </c>
      <c r="C72" s="24">
        <f>SUMIFS(Workout!$D$13:$D$62,Workout!$A$13:$A$62,$A72)</f>
        <v>0</v>
      </c>
      <c r="D72" s="24">
        <f>SUMIFS(Run!$C$13:$C$62,Run!$A$13:$A$62,$A72)</f>
        <v>0</v>
      </c>
      <c r="E72" s="24">
        <f>SUMIFS(Walk!$C$13:$C$62,Walk!$A$13:$A$62,$A72)</f>
        <v>0</v>
      </c>
      <c r="F72" s="24">
        <f>SUMIFS(Swim!$C$13:$C$62,Swim!$A$13:$A$62,$A72)</f>
        <v>0</v>
      </c>
      <c r="G72" s="24">
        <f>SUMIFS(Cycle!$C$13:$C$62,Cycle!$A$13:$A$62,$A72)</f>
        <v>0</v>
      </c>
      <c r="H72" s="24">
        <f>SUMIFS(Tennis!$B$13:$B$62,Tennis!$A$13:$A$62,$A72)</f>
        <v>0</v>
      </c>
      <c r="I72" s="25">
        <f>SUMIFS(Sauna!$B$13:$B$62,Sauna!$A$13:$A$62,$A72)</f>
        <v>0</v>
      </c>
      <c r="J72" s="26">
        <f t="shared" si="1"/>
        <v>0</v>
      </c>
      <c r="K72" s="24">
        <f>ROUND(SUMIFS(Gym!$I$13:$I$62,Gym!$A$13:$A$62,$A72)+SUMIFS(Workout!$E$13:$E$62,Workout!$A$13:$A$62,$A72)+SUMIFS(Run!$F$13:$F$62,Run!$A$13:$A$62,$A72)+SUMIFS(Walk!$F$13:$F$62,Walk!$A$13:$A$62,$A72)+SUMIFS(Swim!$E$13:$E$62,Swim!$A$13:$A$62,$A72)+SUMIFS(Cycle!$E$13:$E$62,Cycle!$A$13:$A$62,$A72)+SUMIFS(Tennis!$D$13:$D$62,Tennis!$A$13:$A$62,$A72),0)</f>
        <v>0</v>
      </c>
    </row>
    <row r="73" spans="1:11" x14ac:dyDescent="0.35">
      <c r="A73" s="27">
        <v>46231</v>
      </c>
      <c r="B73" s="28">
        <f>SUMIFS(Gym!$H$13:$H$62,Gym!$A$13:$A$62,$A73)</f>
        <v>0</v>
      </c>
      <c r="C73" s="28">
        <f>SUMIFS(Workout!$D$13:$D$62,Workout!$A$13:$A$62,$A73)</f>
        <v>0</v>
      </c>
      <c r="D73" s="28">
        <f>SUMIFS(Run!$C$13:$C$62,Run!$A$13:$A$62,$A73)</f>
        <v>0</v>
      </c>
      <c r="E73" s="28">
        <f>SUMIFS(Walk!$C$13:$C$62,Walk!$A$13:$A$62,$A73)</f>
        <v>0</v>
      </c>
      <c r="F73" s="28">
        <f>SUMIFS(Swim!$C$13:$C$62,Swim!$A$13:$A$62,$A73)</f>
        <v>0</v>
      </c>
      <c r="G73" s="28">
        <f>SUMIFS(Cycle!$C$13:$C$62,Cycle!$A$13:$A$62,$A73)</f>
        <v>0</v>
      </c>
      <c r="H73" s="28">
        <f>SUMIFS(Tennis!$B$13:$B$62,Tennis!$A$13:$A$62,$A73)</f>
        <v>0</v>
      </c>
      <c r="I73" s="29">
        <f>SUMIFS(Sauna!$B$13:$B$62,Sauna!$A$13:$A$62,$A73)</f>
        <v>0</v>
      </c>
      <c r="J73" s="30">
        <f t="shared" si="1"/>
        <v>0</v>
      </c>
      <c r="K73" s="28">
        <f>ROUND(SUMIFS(Gym!$I$13:$I$62,Gym!$A$13:$A$62,$A73)+SUMIFS(Workout!$E$13:$E$62,Workout!$A$13:$A$62,$A73)+SUMIFS(Run!$F$13:$F$62,Run!$A$13:$A$62,$A73)+SUMIFS(Walk!$F$13:$F$62,Walk!$A$13:$A$62,$A73)+SUMIFS(Swim!$E$13:$E$62,Swim!$A$13:$A$62,$A73)+SUMIFS(Cycle!$E$13:$E$62,Cycle!$A$13:$A$62,$A73)+SUMIFS(Tennis!$D$13:$D$62,Tennis!$A$13:$A$62,$A73),0)</f>
        <v>0</v>
      </c>
    </row>
    <row r="74" spans="1:11" x14ac:dyDescent="0.35">
      <c r="A74" s="23">
        <v>46232</v>
      </c>
      <c r="B74" s="24">
        <f>SUMIFS(Gym!$H$13:$H$62,Gym!$A$13:$A$62,$A74)</f>
        <v>0</v>
      </c>
      <c r="C74" s="24">
        <f>SUMIFS(Workout!$D$13:$D$62,Workout!$A$13:$A$62,$A74)</f>
        <v>0</v>
      </c>
      <c r="D74" s="24">
        <f>SUMIFS(Run!$C$13:$C$62,Run!$A$13:$A$62,$A74)</f>
        <v>0</v>
      </c>
      <c r="E74" s="24">
        <f>SUMIFS(Walk!$C$13:$C$62,Walk!$A$13:$A$62,$A74)</f>
        <v>0</v>
      </c>
      <c r="F74" s="24">
        <f>SUMIFS(Swim!$C$13:$C$62,Swim!$A$13:$A$62,$A74)</f>
        <v>0</v>
      </c>
      <c r="G74" s="24">
        <f>SUMIFS(Cycle!$C$13:$C$62,Cycle!$A$13:$A$62,$A74)</f>
        <v>0</v>
      </c>
      <c r="H74" s="24">
        <f>SUMIFS(Tennis!$B$13:$B$62,Tennis!$A$13:$A$62,$A74)</f>
        <v>0</v>
      </c>
      <c r="I74" s="25">
        <f>SUMIFS(Sauna!$B$13:$B$62,Sauna!$A$13:$A$62,$A74)</f>
        <v>0</v>
      </c>
      <c r="J74" s="26">
        <f t="shared" si="1"/>
        <v>0</v>
      </c>
      <c r="K74" s="24">
        <f>ROUND(SUMIFS(Gym!$I$13:$I$62,Gym!$A$13:$A$62,$A74)+SUMIFS(Workout!$E$13:$E$62,Workout!$A$13:$A$62,$A74)+SUMIFS(Run!$F$13:$F$62,Run!$A$13:$A$62,$A74)+SUMIFS(Walk!$F$13:$F$62,Walk!$A$13:$A$62,$A74)+SUMIFS(Swim!$E$13:$E$62,Swim!$A$13:$A$62,$A74)+SUMIFS(Cycle!$E$13:$E$62,Cycle!$A$13:$A$62,$A74)+SUMIFS(Tennis!$D$13:$D$62,Tennis!$A$13:$A$62,$A74),0)</f>
        <v>0</v>
      </c>
    </row>
    <row r="75" spans="1:11" x14ac:dyDescent="0.35">
      <c r="A75" s="27">
        <v>46233</v>
      </c>
      <c r="B75" s="28">
        <f>SUMIFS(Gym!$H$13:$H$62,Gym!$A$13:$A$62,$A75)</f>
        <v>0</v>
      </c>
      <c r="C75" s="28">
        <f>SUMIFS(Workout!$D$13:$D$62,Workout!$A$13:$A$62,$A75)</f>
        <v>0</v>
      </c>
      <c r="D75" s="28">
        <f>SUMIFS(Run!$C$13:$C$62,Run!$A$13:$A$62,$A75)</f>
        <v>0</v>
      </c>
      <c r="E75" s="28">
        <f>SUMIFS(Walk!$C$13:$C$62,Walk!$A$13:$A$62,$A75)</f>
        <v>0</v>
      </c>
      <c r="F75" s="28">
        <f>SUMIFS(Swim!$C$13:$C$62,Swim!$A$13:$A$62,$A75)</f>
        <v>0</v>
      </c>
      <c r="G75" s="28">
        <f>SUMIFS(Cycle!$C$13:$C$62,Cycle!$A$13:$A$62,$A75)</f>
        <v>0</v>
      </c>
      <c r="H75" s="28">
        <f>SUMIFS(Tennis!$B$13:$B$62,Tennis!$A$13:$A$62,$A75)</f>
        <v>0</v>
      </c>
      <c r="I75" s="29">
        <f>SUMIFS(Sauna!$B$13:$B$62,Sauna!$A$13:$A$62,$A75)</f>
        <v>0</v>
      </c>
      <c r="J75" s="30">
        <f t="shared" si="1"/>
        <v>0</v>
      </c>
      <c r="K75" s="28">
        <f>ROUND(SUMIFS(Gym!$I$13:$I$62,Gym!$A$13:$A$62,$A75)+SUMIFS(Workout!$E$13:$E$62,Workout!$A$13:$A$62,$A75)+SUMIFS(Run!$F$13:$F$62,Run!$A$13:$A$62,$A75)+SUMIFS(Walk!$F$13:$F$62,Walk!$A$13:$A$62,$A75)+SUMIFS(Swim!$E$13:$E$62,Swim!$A$13:$A$62,$A75)+SUMIFS(Cycle!$E$13:$E$62,Cycle!$A$13:$A$62,$A75)+SUMIFS(Tennis!$D$13:$D$62,Tennis!$A$13:$A$62,$A75),0)</f>
        <v>0</v>
      </c>
    </row>
    <row r="76" spans="1:11" x14ac:dyDescent="0.35">
      <c r="A76" s="23">
        <v>46234</v>
      </c>
      <c r="B76" s="24">
        <f>SUMIFS(Gym!$H$13:$H$62,Gym!$A$13:$A$62,$A76)</f>
        <v>0</v>
      </c>
      <c r="C76" s="24">
        <f>SUMIFS(Workout!$D$13:$D$62,Workout!$A$13:$A$62,$A76)</f>
        <v>0</v>
      </c>
      <c r="D76" s="24">
        <f>SUMIFS(Run!$C$13:$C$62,Run!$A$13:$A$62,$A76)</f>
        <v>0</v>
      </c>
      <c r="E76" s="24">
        <f>SUMIFS(Walk!$C$13:$C$62,Walk!$A$13:$A$62,$A76)</f>
        <v>0</v>
      </c>
      <c r="F76" s="24">
        <f>SUMIFS(Swim!$C$13:$C$62,Swim!$A$13:$A$62,$A76)</f>
        <v>0</v>
      </c>
      <c r="G76" s="24">
        <f>SUMIFS(Cycle!$C$13:$C$62,Cycle!$A$13:$A$62,$A76)</f>
        <v>0</v>
      </c>
      <c r="H76" s="24">
        <f>SUMIFS(Tennis!$B$13:$B$62,Tennis!$A$13:$A$62,$A76)</f>
        <v>0</v>
      </c>
      <c r="I76" s="25">
        <f>SUMIFS(Sauna!$B$13:$B$62,Sauna!$A$13:$A$62,$A76)</f>
        <v>0</v>
      </c>
      <c r="J76" s="26">
        <f t="shared" si="1"/>
        <v>0</v>
      </c>
      <c r="K76" s="24">
        <f>ROUND(SUMIFS(Gym!$I$13:$I$62,Gym!$A$13:$A$62,$A76)+SUMIFS(Workout!$E$13:$E$62,Workout!$A$13:$A$62,$A76)+SUMIFS(Run!$F$13:$F$62,Run!$A$13:$A$62,$A76)+SUMIFS(Walk!$F$13:$F$62,Walk!$A$13:$A$62,$A76)+SUMIFS(Swim!$E$13:$E$62,Swim!$A$13:$A$62,$A76)+SUMIFS(Cycle!$E$13:$E$62,Cycle!$A$13:$A$62,$A76)+SUMIFS(Tennis!$D$13:$D$62,Tennis!$A$13:$A$62,$A76),0)</f>
        <v>0</v>
      </c>
    </row>
    <row r="77" spans="1:11" x14ac:dyDescent="0.35">
      <c r="A77" s="27">
        <v>46235</v>
      </c>
      <c r="B77" s="28">
        <f>SUMIFS(Gym!$H$13:$H$62,Gym!$A$13:$A$62,$A77)</f>
        <v>0</v>
      </c>
      <c r="C77" s="28">
        <f>SUMIFS(Workout!$D$13:$D$62,Workout!$A$13:$A$62,$A77)</f>
        <v>0</v>
      </c>
      <c r="D77" s="28">
        <f>SUMIFS(Run!$C$13:$C$62,Run!$A$13:$A$62,$A77)</f>
        <v>0</v>
      </c>
      <c r="E77" s="28">
        <f>SUMIFS(Walk!$C$13:$C$62,Walk!$A$13:$A$62,$A77)</f>
        <v>0</v>
      </c>
      <c r="F77" s="28">
        <f>SUMIFS(Swim!$C$13:$C$62,Swim!$A$13:$A$62,$A77)</f>
        <v>0</v>
      </c>
      <c r="G77" s="28">
        <f>SUMIFS(Cycle!$C$13:$C$62,Cycle!$A$13:$A$62,$A77)</f>
        <v>0</v>
      </c>
      <c r="H77" s="28">
        <f>SUMIFS(Tennis!$B$13:$B$62,Tennis!$A$13:$A$62,$A77)</f>
        <v>0</v>
      </c>
      <c r="I77" s="29">
        <f>SUMIFS(Sauna!$B$13:$B$62,Sauna!$A$13:$A$62,$A77)</f>
        <v>0</v>
      </c>
      <c r="J77" s="30">
        <f t="shared" si="1"/>
        <v>0</v>
      </c>
      <c r="K77" s="28">
        <f>ROUND(SUMIFS(Gym!$I$13:$I$62,Gym!$A$13:$A$62,$A77)+SUMIFS(Workout!$E$13:$E$62,Workout!$A$13:$A$62,$A77)+SUMIFS(Run!$F$13:$F$62,Run!$A$13:$A$62,$A77)+SUMIFS(Walk!$F$13:$F$62,Walk!$A$13:$A$62,$A77)+SUMIFS(Swim!$E$13:$E$62,Swim!$A$13:$A$62,$A77)+SUMIFS(Cycle!$E$13:$E$62,Cycle!$A$13:$A$62,$A77)+SUMIFS(Tennis!$D$13:$D$62,Tennis!$A$13:$A$62,$A77),0)</f>
        <v>0</v>
      </c>
    </row>
    <row r="78" spans="1:11" x14ac:dyDescent="0.35">
      <c r="A78" s="23">
        <v>46236</v>
      </c>
      <c r="B78" s="24">
        <f>SUMIFS(Gym!$H$13:$H$62,Gym!$A$13:$A$62,$A78)</f>
        <v>0</v>
      </c>
      <c r="C78" s="24">
        <f>SUMIFS(Workout!$D$13:$D$62,Workout!$A$13:$A$62,$A78)</f>
        <v>0</v>
      </c>
      <c r="D78" s="24">
        <f>SUMIFS(Run!$C$13:$C$62,Run!$A$13:$A$62,$A78)</f>
        <v>0</v>
      </c>
      <c r="E78" s="24">
        <f>SUMIFS(Walk!$C$13:$C$62,Walk!$A$13:$A$62,$A78)</f>
        <v>0</v>
      </c>
      <c r="F78" s="24">
        <f>SUMIFS(Swim!$C$13:$C$62,Swim!$A$13:$A$62,$A78)</f>
        <v>0</v>
      </c>
      <c r="G78" s="24">
        <f>SUMIFS(Cycle!$C$13:$C$62,Cycle!$A$13:$A$62,$A78)</f>
        <v>0</v>
      </c>
      <c r="H78" s="24">
        <f>SUMIFS(Tennis!$B$13:$B$62,Tennis!$A$13:$A$62,$A78)</f>
        <v>0</v>
      </c>
      <c r="I78" s="25">
        <f>SUMIFS(Sauna!$B$13:$B$62,Sauna!$A$13:$A$62,$A78)</f>
        <v>0</v>
      </c>
      <c r="J78" s="26">
        <f t="shared" si="1"/>
        <v>0</v>
      </c>
      <c r="K78" s="24">
        <f>ROUND(SUMIFS(Gym!$I$13:$I$62,Gym!$A$13:$A$62,$A78)+SUMIFS(Workout!$E$13:$E$62,Workout!$A$13:$A$62,$A78)+SUMIFS(Run!$F$13:$F$62,Run!$A$13:$A$62,$A78)+SUMIFS(Walk!$F$13:$F$62,Walk!$A$13:$A$62,$A78)+SUMIFS(Swim!$E$13:$E$62,Swim!$A$13:$A$62,$A78)+SUMIFS(Cycle!$E$13:$E$62,Cycle!$A$13:$A$62,$A78)+SUMIFS(Tennis!$D$13:$D$62,Tennis!$A$13:$A$62,$A78),0)</f>
        <v>0</v>
      </c>
    </row>
    <row r="79" spans="1:11" x14ac:dyDescent="0.35">
      <c r="A79" s="27">
        <v>46237</v>
      </c>
      <c r="B79" s="28">
        <f>SUMIFS(Gym!$H$13:$H$62,Gym!$A$13:$A$62,$A79)</f>
        <v>0</v>
      </c>
      <c r="C79" s="28">
        <f>SUMIFS(Workout!$D$13:$D$62,Workout!$A$13:$A$62,$A79)</f>
        <v>0</v>
      </c>
      <c r="D79" s="28">
        <f>SUMIFS(Run!$C$13:$C$62,Run!$A$13:$A$62,$A79)</f>
        <v>0</v>
      </c>
      <c r="E79" s="28">
        <f>SUMIFS(Walk!$C$13:$C$62,Walk!$A$13:$A$62,$A79)</f>
        <v>0</v>
      </c>
      <c r="F79" s="28">
        <f>SUMIFS(Swim!$C$13:$C$62,Swim!$A$13:$A$62,$A79)</f>
        <v>0</v>
      </c>
      <c r="G79" s="28">
        <f>SUMIFS(Cycle!$C$13:$C$62,Cycle!$A$13:$A$62,$A79)</f>
        <v>0</v>
      </c>
      <c r="H79" s="28">
        <f>SUMIFS(Tennis!$B$13:$B$62,Tennis!$A$13:$A$62,$A79)</f>
        <v>0</v>
      </c>
      <c r="I79" s="29">
        <f>SUMIFS(Sauna!$B$13:$B$62,Sauna!$A$13:$A$62,$A79)</f>
        <v>0</v>
      </c>
      <c r="J79" s="30">
        <f t="shared" si="1"/>
        <v>0</v>
      </c>
      <c r="K79" s="28">
        <f>ROUND(SUMIFS(Gym!$I$13:$I$62,Gym!$A$13:$A$62,$A79)+SUMIFS(Workout!$E$13:$E$62,Workout!$A$13:$A$62,$A79)+SUMIFS(Run!$F$13:$F$62,Run!$A$13:$A$62,$A79)+SUMIFS(Walk!$F$13:$F$62,Walk!$A$13:$A$62,$A79)+SUMIFS(Swim!$E$13:$E$62,Swim!$A$13:$A$62,$A79)+SUMIFS(Cycle!$E$13:$E$62,Cycle!$A$13:$A$62,$A79)+SUMIFS(Tennis!$D$13:$D$62,Tennis!$A$13:$A$62,$A79),0)</f>
        <v>0</v>
      </c>
    </row>
    <row r="80" spans="1:11" x14ac:dyDescent="0.35">
      <c r="A80" s="23">
        <v>46238</v>
      </c>
      <c r="B80" s="24">
        <f>SUMIFS(Gym!$H$13:$H$62,Gym!$A$13:$A$62,$A80)</f>
        <v>0</v>
      </c>
      <c r="C80" s="24">
        <f>SUMIFS(Workout!$D$13:$D$62,Workout!$A$13:$A$62,$A80)</f>
        <v>0</v>
      </c>
      <c r="D80" s="24">
        <f>SUMIFS(Run!$C$13:$C$62,Run!$A$13:$A$62,$A80)</f>
        <v>0</v>
      </c>
      <c r="E80" s="24">
        <f>SUMIFS(Walk!$C$13:$C$62,Walk!$A$13:$A$62,$A80)</f>
        <v>0</v>
      </c>
      <c r="F80" s="24">
        <f>SUMIFS(Swim!$C$13:$C$62,Swim!$A$13:$A$62,$A80)</f>
        <v>0</v>
      </c>
      <c r="G80" s="24">
        <f>SUMIFS(Cycle!$C$13:$C$62,Cycle!$A$13:$A$62,$A80)</f>
        <v>0</v>
      </c>
      <c r="H80" s="24">
        <f>SUMIFS(Tennis!$B$13:$B$62,Tennis!$A$13:$A$62,$A80)</f>
        <v>0</v>
      </c>
      <c r="I80" s="25">
        <f>SUMIFS(Sauna!$B$13:$B$62,Sauna!$A$13:$A$62,$A80)</f>
        <v>0</v>
      </c>
      <c r="J80" s="26">
        <f t="shared" si="1"/>
        <v>0</v>
      </c>
      <c r="K80" s="24">
        <f>ROUND(SUMIFS(Gym!$I$13:$I$62,Gym!$A$13:$A$62,$A80)+SUMIFS(Workout!$E$13:$E$62,Workout!$A$13:$A$62,$A80)+SUMIFS(Run!$F$13:$F$62,Run!$A$13:$A$62,$A80)+SUMIFS(Walk!$F$13:$F$62,Walk!$A$13:$A$62,$A80)+SUMIFS(Swim!$E$13:$E$62,Swim!$A$13:$A$62,$A80)+SUMIFS(Cycle!$E$13:$E$62,Cycle!$A$13:$A$62,$A80)+SUMIFS(Tennis!$D$13:$D$62,Tennis!$A$13:$A$62,$A80),0)</f>
        <v>0</v>
      </c>
    </row>
    <row r="81" spans="1:11" x14ac:dyDescent="0.35">
      <c r="A81" s="27">
        <v>46239</v>
      </c>
      <c r="B81" s="28">
        <f>SUMIFS(Gym!$H$13:$H$62,Gym!$A$13:$A$62,$A81)</f>
        <v>0</v>
      </c>
      <c r="C81" s="28">
        <f>SUMIFS(Workout!$D$13:$D$62,Workout!$A$13:$A$62,$A81)</f>
        <v>0</v>
      </c>
      <c r="D81" s="28">
        <f>SUMIFS(Run!$C$13:$C$62,Run!$A$13:$A$62,$A81)</f>
        <v>0</v>
      </c>
      <c r="E81" s="28">
        <f>SUMIFS(Walk!$C$13:$C$62,Walk!$A$13:$A$62,$A81)</f>
        <v>0</v>
      </c>
      <c r="F81" s="28">
        <f>SUMIFS(Swim!$C$13:$C$62,Swim!$A$13:$A$62,$A81)</f>
        <v>0</v>
      </c>
      <c r="G81" s="28">
        <f>SUMIFS(Cycle!$C$13:$C$62,Cycle!$A$13:$A$62,$A81)</f>
        <v>0</v>
      </c>
      <c r="H81" s="28">
        <f>SUMIFS(Tennis!$B$13:$B$62,Tennis!$A$13:$A$62,$A81)</f>
        <v>0</v>
      </c>
      <c r="I81" s="29">
        <f>SUMIFS(Sauna!$B$13:$B$62,Sauna!$A$13:$A$62,$A81)</f>
        <v>0</v>
      </c>
      <c r="J81" s="30">
        <f t="shared" si="1"/>
        <v>0</v>
      </c>
      <c r="K81" s="28">
        <f>ROUND(SUMIFS(Gym!$I$13:$I$62,Gym!$A$13:$A$62,$A81)+SUMIFS(Workout!$E$13:$E$62,Workout!$A$13:$A$62,$A81)+SUMIFS(Run!$F$13:$F$62,Run!$A$13:$A$62,$A81)+SUMIFS(Walk!$F$13:$F$62,Walk!$A$13:$A$62,$A81)+SUMIFS(Swim!$E$13:$E$62,Swim!$A$13:$A$62,$A81)+SUMIFS(Cycle!$E$13:$E$62,Cycle!$A$13:$A$62,$A81)+SUMIFS(Tennis!$D$13:$D$62,Tennis!$A$13:$A$62,$A81),0)</f>
        <v>0</v>
      </c>
    </row>
    <row r="82" spans="1:11" x14ac:dyDescent="0.35">
      <c r="A82" s="23">
        <v>46240</v>
      </c>
      <c r="B82" s="24">
        <f>SUMIFS(Gym!$H$13:$H$62,Gym!$A$13:$A$62,$A82)</f>
        <v>0</v>
      </c>
      <c r="C82" s="24">
        <f>SUMIFS(Workout!$D$13:$D$62,Workout!$A$13:$A$62,$A82)</f>
        <v>0</v>
      </c>
      <c r="D82" s="24">
        <f>SUMIFS(Run!$C$13:$C$62,Run!$A$13:$A$62,$A82)</f>
        <v>0</v>
      </c>
      <c r="E82" s="24">
        <f>SUMIFS(Walk!$C$13:$C$62,Walk!$A$13:$A$62,$A82)</f>
        <v>0</v>
      </c>
      <c r="F82" s="24">
        <f>SUMIFS(Swim!$C$13:$C$62,Swim!$A$13:$A$62,$A82)</f>
        <v>0</v>
      </c>
      <c r="G82" s="24">
        <f>SUMIFS(Cycle!$C$13:$C$62,Cycle!$A$13:$A$62,$A82)</f>
        <v>0</v>
      </c>
      <c r="H82" s="24">
        <f>SUMIFS(Tennis!$B$13:$B$62,Tennis!$A$13:$A$62,$A82)</f>
        <v>0</v>
      </c>
      <c r="I82" s="25">
        <f>SUMIFS(Sauna!$B$13:$B$62,Sauna!$A$13:$A$62,$A82)</f>
        <v>0</v>
      </c>
      <c r="J82" s="26">
        <f t="shared" si="1"/>
        <v>0</v>
      </c>
      <c r="K82" s="24">
        <f>ROUND(SUMIFS(Gym!$I$13:$I$62,Gym!$A$13:$A$62,$A82)+SUMIFS(Workout!$E$13:$E$62,Workout!$A$13:$A$62,$A82)+SUMIFS(Run!$F$13:$F$62,Run!$A$13:$A$62,$A82)+SUMIFS(Walk!$F$13:$F$62,Walk!$A$13:$A$62,$A82)+SUMIFS(Swim!$E$13:$E$62,Swim!$A$13:$A$62,$A82)+SUMIFS(Cycle!$E$13:$E$62,Cycle!$A$13:$A$62,$A82)+SUMIFS(Tennis!$D$13:$D$62,Tennis!$A$13:$A$62,$A82),0)</f>
        <v>0</v>
      </c>
    </row>
    <row r="83" spans="1:11" x14ac:dyDescent="0.35">
      <c r="A83" s="27">
        <v>46241</v>
      </c>
      <c r="B83" s="28">
        <f>SUMIFS(Gym!$H$13:$H$62,Gym!$A$13:$A$62,$A83)</f>
        <v>0</v>
      </c>
      <c r="C83" s="28">
        <f>SUMIFS(Workout!$D$13:$D$62,Workout!$A$13:$A$62,$A83)</f>
        <v>0</v>
      </c>
      <c r="D83" s="28">
        <f>SUMIFS(Run!$C$13:$C$62,Run!$A$13:$A$62,$A83)</f>
        <v>0</v>
      </c>
      <c r="E83" s="28">
        <f>SUMIFS(Walk!$C$13:$C$62,Walk!$A$13:$A$62,$A83)</f>
        <v>0</v>
      </c>
      <c r="F83" s="28">
        <f>SUMIFS(Swim!$C$13:$C$62,Swim!$A$13:$A$62,$A83)</f>
        <v>0</v>
      </c>
      <c r="G83" s="28">
        <f>SUMIFS(Cycle!$C$13:$C$62,Cycle!$A$13:$A$62,$A83)</f>
        <v>0</v>
      </c>
      <c r="H83" s="28">
        <f>SUMIFS(Tennis!$B$13:$B$62,Tennis!$A$13:$A$62,$A83)</f>
        <v>0</v>
      </c>
      <c r="I83" s="29">
        <f>SUMIFS(Sauna!$B$13:$B$62,Sauna!$A$13:$A$62,$A83)</f>
        <v>0</v>
      </c>
      <c r="J83" s="30">
        <f t="shared" si="1"/>
        <v>0</v>
      </c>
      <c r="K83" s="28">
        <f>ROUND(SUMIFS(Gym!$I$13:$I$62,Gym!$A$13:$A$62,$A83)+SUMIFS(Workout!$E$13:$E$62,Workout!$A$13:$A$62,$A83)+SUMIFS(Run!$F$13:$F$62,Run!$A$13:$A$62,$A83)+SUMIFS(Walk!$F$13:$F$62,Walk!$A$13:$A$62,$A83)+SUMIFS(Swim!$E$13:$E$62,Swim!$A$13:$A$62,$A83)+SUMIFS(Cycle!$E$13:$E$62,Cycle!$A$13:$A$62,$A83)+SUMIFS(Tennis!$D$13:$D$62,Tennis!$A$13:$A$62,$A83),0)</f>
        <v>0</v>
      </c>
    </row>
    <row r="84" spans="1:11" x14ac:dyDescent="0.35">
      <c r="A84" s="23">
        <v>46242</v>
      </c>
      <c r="B84" s="24">
        <f>SUMIFS(Gym!$H$13:$H$62,Gym!$A$13:$A$62,$A84)</f>
        <v>0</v>
      </c>
      <c r="C84" s="24">
        <f>SUMIFS(Workout!$D$13:$D$62,Workout!$A$13:$A$62,$A84)</f>
        <v>0</v>
      </c>
      <c r="D84" s="24">
        <f>SUMIFS(Run!$C$13:$C$62,Run!$A$13:$A$62,$A84)</f>
        <v>0</v>
      </c>
      <c r="E84" s="24">
        <f>SUMIFS(Walk!$C$13:$C$62,Walk!$A$13:$A$62,$A84)</f>
        <v>0</v>
      </c>
      <c r="F84" s="24">
        <f>SUMIFS(Swim!$C$13:$C$62,Swim!$A$13:$A$62,$A84)</f>
        <v>0</v>
      </c>
      <c r="G84" s="24">
        <f>SUMIFS(Cycle!$C$13:$C$62,Cycle!$A$13:$A$62,$A84)</f>
        <v>0</v>
      </c>
      <c r="H84" s="24">
        <f>SUMIFS(Tennis!$B$13:$B$62,Tennis!$A$13:$A$62,$A84)</f>
        <v>0</v>
      </c>
      <c r="I84" s="25">
        <f>SUMIFS(Sauna!$B$13:$B$62,Sauna!$A$13:$A$62,$A84)</f>
        <v>0</v>
      </c>
      <c r="J84" s="26">
        <f t="shared" si="1"/>
        <v>0</v>
      </c>
      <c r="K84" s="24">
        <f>ROUND(SUMIFS(Gym!$I$13:$I$62,Gym!$A$13:$A$62,$A84)+SUMIFS(Workout!$E$13:$E$62,Workout!$A$13:$A$62,$A84)+SUMIFS(Run!$F$13:$F$62,Run!$A$13:$A$62,$A84)+SUMIFS(Walk!$F$13:$F$62,Walk!$A$13:$A$62,$A84)+SUMIFS(Swim!$E$13:$E$62,Swim!$A$13:$A$62,$A84)+SUMIFS(Cycle!$E$13:$E$62,Cycle!$A$13:$A$62,$A84)+SUMIFS(Tennis!$D$13:$D$62,Tennis!$A$13:$A$62,$A84),0)</f>
        <v>0</v>
      </c>
    </row>
    <row r="85" spans="1:11" x14ac:dyDescent="0.35">
      <c r="A85" s="27">
        <v>46243</v>
      </c>
      <c r="B85" s="28">
        <f>SUMIFS(Gym!$H$13:$H$62,Gym!$A$13:$A$62,$A85)</f>
        <v>0</v>
      </c>
      <c r="C85" s="28">
        <f>SUMIFS(Workout!$D$13:$D$62,Workout!$A$13:$A$62,$A85)</f>
        <v>0</v>
      </c>
      <c r="D85" s="28">
        <f>SUMIFS(Run!$C$13:$C$62,Run!$A$13:$A$62,$A85)</f>
        <v>0</v>
      </c>
      <c r="E85" s="28">
        <f>SUMIFS(Walk!$C$13:$C$62,Walk!$A$13:$A$62,$A85)</f>
        <v>0</v>
      </c>
      <c r="F85" s="28">
        <f>SUMIFS(Swim!$C$13:$C$62,Swim!$A$13:$A$62,$A85)</f>
        <v>0</v>
      </c>
      <c r="G85" s="28">
        <f>SUMIFS(Cycle!$C$13:$C$62,Cycle!$A$13:$A$62,$A85)</f>
        <v>0</v>
      </c>
      <c r="H85" s="28">
        <f>SUMIFS(Tennis!$B$13:$B$62,Tennis!$A$13:$A$62,$A85)</f>
        <v>0</v>
      </c>
      <c r="I85" s="29">
        <f>SUMIFS(Sauna!$B$13:$B$62,Sauna!$A$13:$A$62,$A85)</f>
        <v>0</v>
      </c>
      <c r="J85" s="30">
        <f t="shared" si="1"/>
        <v>0</v>
      </c>
      <c r="K85" s="28">
        <f>ROUND(SUMIFS(Gym!$I$13:$I$62,Gym!$A$13:$A$62,$A85)+SUMIFS(Workout!$E$13:$E$62,Workout!$A$13:$A$62,$A85)+SUMIFS(Run!$F$13:$F$62,Run!$A$13:$A$62,$A85)+SUMIFS(Walk!$F$13:$F$62,Walk!$A$13:$A$62,$A85)+SUMIFS(Swim!$E$13:$E$62,Swim!$A$13:$A$62,$A85)+SUMIFS(Cycle!$E$13:$E$62,Cycle!$A$13:$A$62,$A85)+SUMIFS(Tennis!$D$13:$D$62,Tennis!$A$13:$A$62,$A85),0)</f>
        <v>0</v>
      </c>
    </row>
    <row r="86" spans="1:11" x14ac:dyDescent="0.35">
      <c r="A86" s="23">
        <v>46244</v>
      </c>
      <c r="B86" s="24">
        <f>SUMIFS(Gym!$H$13:$H$62,Gym!$A$13:$A$62,$A86)</f>
        <v>0</v>
      </c>
      <c r="C86" s="24">
        <f>SUMIFS(Workout!$D$13:$D$62,Workout!$A$13:$A$62,$A86)</f>
        <v>0</v>
      </c>
      <c r="D86" s="24">
        <f>SUMIFS(Run!$C$13:$C$62,Run!$A$13:$A$62,$A86)</f>
        <v>0</v>
      </c>
      <c r="E86" s="24">
        <f>SUMIFS(Walk!$C$13:$C$62,Walk!$A$13:$A$62,$A86)</f>
        <v>0</v>
      </c>
      <c r="F86" s="24">
        <f>SUMIFS(Swim!$C$13:$C$62,Swim!$A$13:$A$62,$A86)</f>
        <v>0</v>
      </c>
      <c r="G86" s="24">
        <f>SUMIFS(Cycle!$C$13:$C$62,Cycle!$A$13:$A$62,$A86)</f>
        <v>0</v>
      </c>
      <c r="H86" s="24">
        <f>SUMIFS(Tennis!$B$13:$B$62,Tennis!$A$13:$A$62,$A86)</f>
        <v>0</v>
      </c>
      <c r="I86" s="25">
        <f>SUMIFS(Sauna!$B$13:$B$62,Sauna!$A$13:$A$62,$A86)</f>
        <v>0</v>
      </c>
      <c r="J86" s="26">
        <f t="shared" si="1"/>
        <v>0</v>
      </c>
      <c r="K86" s="24">
        <f>ROUND(SUMIFS(Gym!$I$13:$I$62,Gym!$A$13:$A$62,$A86)+SUMIFS(Workout!$E$13:$E$62,Workout!$A$13:$A$62,$A86)+SUMIFS(Run!$F$13:$F$62,Run!$A$13:$A$62,$A86)+SUMIFS(Walk!$F$13:$F$62,Walk!$A$13:$A$62,$A86)+SUMIFS(Swim!$E$13:$E$62,Swim!$A$13:$A$62,$A86)+SUMIFS(Cycle!$E$13:$E$62,Cycle!$A$13:$A$62,$A86)+SUMIFS(Tennis!$D$13:$D$62,Tennis!$A$13:$A$62,$A86),0)</f>
        <v>0</v>
      </c>
    </row>
    <row r="87" spans="1:11" x14ac:dyDescent="0.35">
      <c r="A87" s="27">
        <v>46245</v>
      </c>
      <c r="B87" s="28">
        <f>SUMIFS(Gym!$H$13:$H$62,Gym!$A$13:$A$62,$A87)</f>
        <v>0</v>
      </c>
      <c r="C87" s="28">
        <f>SUMIFS(Workout!$D$13:$D$62,Workout!$A$13:$A$62,$A87)</f>
        <v>0</v>
      </c>
      <c r="D87" s="28">
        <f>SUMIFS(Run!$C$13:$C$62,Run!$A$13:$A$62,$A87)</f>
        <v>0</v>
      </c>
      <c r="E87" s="28">
        <f>SUMIFS(Walk!$C$13:$C$62,Walk!$A$13:$A$62,$A87)</f>
        <v>0</v>
      </c>
      <c r="F87" s="28">
        <f>SUMIFS(Swim!$C$13:$C$62,Swim!$A$13:$A$62,$A87)</f>
        <v>0</v>
      </c>
      <c r="G87" s="28">
        <f>SUMIFS(Cycle!$C$13:$C$62,Cycle!$A$13:$A$62,$A87)</f>
        <v>0</v>
      </c>
      <c r="H87" s="28">
        <f>SUMIFS(Tennis!$B$13:$B$62,Tennis!$A$13:$A$62,$A87)</f>
        <v>0</v>
      </c>
      <c r="I87" s="29">
        <f>SUMIFS(Sauna!$B$13:$B$62,Sauna!$A$13:$A$62,$A87)</f>
        <v>0</v>
      </c>
      <c r="J87" s="30">
        <f t="shared" si="1"/>
        <v>0</v>
      </c>
      <c r="K87" s="28">
        <f>ROUND(SUMIFS(Gym!$I$13:$I$62,Gym!$A$13:$A$62,$A87)+SUMIFS(Workout!$E$13:$E$62,Workout!$A$13:$A$62,$A87)+SUMIFS(Run!$F$13:$F$62,Run!$A$13:$A$62,$A87)+SUMIFS(Walk!$F$13:$F$62,Walk!$A$13:$A$62,$A87)+SUMIFS(Swim!$E$13:$E$62,Swim!$A$13:$A$62,$A87)+SUMIFS(Cycle!$E$13:$E$62,Cycle!$A$13:$A$62,$A87)+SUMIFS(Tennis!$D$13:$D$62,Tennis!$A$13:$A$62,$A87),0)</f>
        <v>0</v>
      </c>
    </row>
    <row r="88" spans="1:11" x14ac:dyDescent="0.35">
      <c r="A88" s="23">
        <v>46246</v>
      </c>
      <c r="B88" s="24">
        <f>SUMIFS(Gym!$H$13:$H$62,Gym!$A$13:$A$62,$A88)</f>
        <v>0</v>
      </c>
      <c r="C88" s="24">
        <f>SUMIFS(Workout!$D$13:$D$62,Workout!$A$13:$A$62,$A88)</f>
        <v>0</v>
      </c>
      <c r="D88" s="24">
        <f>SUMIFS(Run!$C$13:$C$62,Run!$A$13:$A$62,$A88)</f>
        <v>0</v>
      </c>
      <c r="E88" s="24">
        <f>SUMIFS(Walk!$C$13:$C$62,Walk!$A$13:$A$62,$A88)</f>
        <v>0</v>
      </c>
      <c r="F88" s="24">
        <f>SUMIFS(Swim!$C$13:$C$62,Swim!$A$13:$A$62,$A88)</f>
        <v>0</v>
      </c>
      <c r="G88" s="24">
        <f>SUMIFS(Cycle!$C$13:$C$62,Cycle!$A$13:$A$62,$A88)</f>
        <v>0</v>
      </c>
      <c r="H88" s="24">
        <f>SUMIFS(Tennis!$B$13:$B$62,Tennis!$A$13:$A$62,$A88)</f>
        <v>0</v>
      </c>
      <c r="I88" s="25">
        <f>SUMIFS(Sauna!$B$13:$B$62,Sauna!$A$13:$A$62,$A88)</f>
        <v>0</v>
      </c>
      <c r="J88" s="26">
        <f t="shared" si="1"/>
        <v>0</v>
      </c>
      <c r="K88" s="24">
        <f>ROUND(SUMIFS(Gym!$I$13:$I$62,Gym!$A$13:$A$62,$A88)+SUMIFS(Workout!$E$13:$E$62,Workout!$A$13:$A$62,$A88)+SUMIFS(Run!$F$13:$F$62,Run!$A$13:$A$62,$A88)+SUMIFS(Walk!$F$13:$F$62,Walk!$A$13:$A$62,$A88)+SUMIFS(Swim!$E$13:$E$62,Swim!$A$13:$A$62,$A88)+SUMIFS(Cycle!$E$13:$E$62,Cycle!$A$13:$A$62,$A88)+SUMIFS(Tennis!$D$13:$D$62,Tennis!$A$13:$A$62,$A88),0)</f>
        <v>0</v>
      </c>
    </row>
    <row r="89" spans="1:11" x14ac:dyDescent="0.35">
      <c r="A89" s="27">
        <v>46247</v>
      </c>
      <c r="B89" s="28">
        <f>SUMIFS(Gym!$H$13:$H$62,Gym!$A$13:$A$62,$A89)</f>
        <v>0</v>
      </c>
      <c r="C89" s="28">
        <f>SUMIFS(Workout!$D$13:$D$62,Workout!$A$13:$A$62,$A89)</f>
        <v>0</v>
      </c>
      <c r="D89" s="28">
        <f>SUMIFS(Run!$C$13:$C$62,Run!$A$13:$A$62,$A89)</f>
        <v>0</v>
      </c>
      <c r="E89" s="28">
        <f>SUMIFS(Walk!$C$13:$C$62,Walk!$A$13:$A$62,$A89)</f>
        <v>0</v>
      </c>
      <c r="F89" s="28">
        <f>SUMIFS(Swim!$C$13:$C$62,Swim!$A$13:$A$62,$A89)</f>
        <v>0</v>
      </c>
      <c r="G89" s="28">
        <f>SUMIFS(Cycle!$C$13:$C$62,Cycle!$A$13:$A$62,$A89)</f>
        <v>0</v>
      </c>
      <c r="H89" s="28">
        <f>SUMIFS(Tennis!$B$13:$B$62,Tennis!$A$13:$A$62,$A89)</f>
        <v>0</v>
      </c>
      <c r="I89" s="29">
        <f>SUMIFS(Sauna!$B$13:$B$62,Sauna!$A$13:$A$62,$A89)</f>
        <v>0</v>
      </c>
      <c r="J89" s="30">
        <f t="shared" si="1"/>
        <v>0</v>
      </c>
      <c r="K89" s="28">
        <f>ROUND(SUMIFS(Gym!$I$13:$I$62,Gym!$A$13:$A$62,$A89)+SUMIFS(Workout!$E$13:$E$62,Workout!$A$13:$A$62,$A89)+SUMIFS(Run!$F$13:$F$62,Run!$A$13:$A$62,$A89)+SUMIFS(Walk!$F$13:$F$62,Walk!$A$13:$A$62,$A89)+SUMIFS(Swim!$E$13:$E$62,Swim!$A$13:$A$62,$A89)+SUMIFS(Cycle!$E$13:$E$62,Cycle!$A$13:$A$62,$A89)+SUMIFS(Tennis!$D$13:$D$62,Tennis!$A$13:$A$62,$A89),0)</f>
        <v>0</v>
      </c>
    </row>
    <row r="90" spans="1:11" x14ac:dyDescent="0.35">
      <c r="A90" s="23">
        <v>46248</v>
      </c>
      <c r="B90" s="24">
        <f>SUMIFS(Gym!$H$13:$H$62,Gym!$A$13:$A$62,$A90)</f>
        <v>0</v>
      </c>
      <c r="C90" s="24">
        <f>SUMIFS(Workout!$D$13:$D$62,Workout!$A$13:$A$62,$A90)</f>
        <v>0</v>
      </c>
      <c r="D90" s="24">
        <f>SUMIFS(Run!$C$13:$C$62,Run!$A$13:$A$62,$A90)</f>
        <v>0</v>
      </c>
      <c r="E90" s="24">
        <f>SUMIFS(Walk!$C$13:$C$62,Walk!$A$13:$A$62,$A90)</f>
        <v>0</v>
      </c>
      <c r="F90" s="24">
        <f>SUMIFS(Swim!$C$13:$C$62,Swim!$A$13:$A$62,$A90)</f>
        <v>0</v>
      </c>
      <c r="G90" s="24">
        <f>SUMIFS(Cycle!$C$13:$C$62,Cycle!$A$13:$A$62,$A90)</f>
        <v>0</v>
      </c>
      <c r="H90" s="24">
        <f>SUMIFS(Tennis!$B$13:$B$62,Tennis!$A$13:$A$62,$A90)</f>
        <v>0</v>
      </c>
      <c r="I90" s="25">
        <f>SUMIFS(Sauna!$B$13:$B$62,Sauna!$A$13:$A$62,$A90)</f>
        <v>0</v>
      </c>
      <c r="J90" s="26">
        <f t="shared" si="1"/>
        <v>0</v>
      </c>
      <c r="K90" s="24">
        <f>ROUND(SUMIFS(Gym!$I$13:$I$62,Gym!$A$13:$A$62,$A90)+SUMIFS(Workout!$E$13:$E$62,Workout!$A$13:$A$62,$A90)+SUMIFS(Run!$F$13:$F$62,Run!$A$13:$A$62,$A90)+SUMIFS(Walk!$F$13:$F$62,Walk!$A$13:$A$62,$A90)+SUMIFS(Swim!$E$13:$E$62,Swim!$A$13:$A$62,$A90)+SUMIFS(Cycle!$E$13:$E$62,Cycle!$A$13:$A$62,$A90)+SUMIFS(Tennis!$D$13:$D$62,Tennis!$A$13:$A$62,$A90),0)</f>
        <v>0</v>
      </c>
    </row>
    <row r="91" spans="1:11" x14ac:dyDescent="0.35">
      <c r="A91" s="27">
        <v>46249</v>
      </c>
      <c r="B91" s="28">
        <f>SUMIFS(Gym!$H$13:$H$62,Gym!$A$13:$A$62,$A91)</f>
        <v>0</v>
      </c>
      <c r="C91" s="28">
        <f>SUMIFS(Workout!$D$13:$D$62,Workout!$A$13:$A$62,$A91)</f>
        <v>0</v>
      </c>
      <c r="D91" s="28">
        <f>SUMIFS(Run!$C$13:$C$62,Run!$A$13:$A$62,$A91)</f>
        <v>0</v>
      </c>
      <c r="E91" s="28">
        <f>SUMIFS(Walk!$C$13:$C$62,Walk!$A$13:$A$62,$A91)</f>
        <v>0</v>
      </c>
      <c r="F91" s="28">
        <f>SUMIFS(Swim!$C$13:$C$62,Swim!$A$13:$A$62,$A91)</f>
        <v>0</v>
      </c>
      <c r="G91" s="28">
        <f>SUMIFS(Cycle!$C$13:$C$62,Cycle!$A$13:$A$62,$A91)</f>
        <v>0</v>
      </c>
      <c r="H91" s="28">
        <f>SUMIFS(Tennis!$B$13:$B$62,Tennis!$A$13:$A$62,$A91)</f>
        <v>0</v>
      </c>
      <c r="I91" s="29">
        <f>SUMIFS(Sauna!$B$13:$B$62,Sauna!$A$13:$A$62,$A91)</f>
        <v>0</v>
      </c>
      <c r="J91" s="30">
        <f t="shared" si="1"/>
        <v>0</v>
      </c>
      <c r="K91" s="28">
        <f>ROUND(SUMIFS(Gym!$I$13:$I$62,Gym!$A$13:$A$62,$A91)+SUMIFS(Workout!$E$13:$E$62,Workout!$A$13:$A$62,$A91)+SUMIFS(Run!$F$13:$F$62,Run!$A$13:$A$62,$A91)+SUMIFS(Walk!$F$13:$F$62,Walk!$A$13:$A$62,$A91)+SUMIFS(Swim!$E$13:$E$62,Swim!$A$13:$A$62,$A91)+SUMIFS(Cycle!$E$13:$E$62,Cycle!$A$13:$A$62,$A91)+SUMIFS(Tennis!$D$13:$D$62,Tennis!$A$13:$A$62,$A91),0)</f>
        <v>0</v>
      </c>
    </row>
    <row r="92" spans="1:11" x14ac:dyDescent="0.35">
      <c r="A92" s="23">
        <v>46250</v>
      </c>
      <c r="B92" s="24">
        <f>SUMIFS(Gym!$H$13:$H$62,Gym!$A$13:$A$62,$A92)</f>
        <v>0</v>
      </c>
      <c r="C92" s="24">
        <f>SUMIFS(Workout!$D$13:$D$62,Workout!$A$13:$A$62,$A92)</f>
        <v>0</v>
      </c>
      <c r="D92" s="24">
        <f>SUMIFS(Run!$C$13:$C$62,Run!$A$13:$A$62,$A92)</f>
        <v>0</v>
      </c>
      <c r="E92" s="24">
        <f>SUMIFS(Walk!$C$13:$C$62,Walk!$A$13:$A$62,$A92)</f>
        <v>0</v>
      </c>
      <c r="F92" s="24">
        <f>SUMIFS(Swim!$C$13:$C$62,Swim!$A$13:$A$62,$A92)</f>
        <v>0</v>
      </c>
      <c r="G92" s="24">
        <f>SUMIFS(Cycle!$C$13:$C$62,Cycle!$A$13:$A$62,$A92)</f>
        <v>0</v>
      </c>
      <c r="H92" s="24">
        <f>SUMIFS(Tennis!$B$13:$B$62,Tennis!$A$13:$A$62,$A92)</f>
        <v>0</v>
      </c>
      <c r="I92" s="25">
        <f>SUMIFS(Sauna!$B$13:$B$62,Sauna!$A$13:$A$62,$A92)</f>
        <v>0</v>
      </c>
      <c r="J92" s="26">
        <f t="shared" ref="J92:J117" si="2">SUM(B92:H92)</f>
        <v>0</v>
      </c>
      <c r="K92" s="24">
        <f>ROUND(SUMIFS(Gym!$I$13:$I$62,Gym!$A$13:$A$62,$A92)+SUMIFS(Workout!$E$13:$E$62,Workout!$A$13:$A$62,$A92)+SUMIFS(Run!$F$13:$F$62,Run!$A$13:$A$62,$A92)+SUMIFS(Walk!$F$13:$F$62,Walk!$A$13:$A$62,$A92)+SUMIFS(Swim!$E$13:$E$62,Swim!$A$13:$A$62,$A92)+SUMIFS(Cycle!$E$13:$E$62,Cycle!$A$13:$A$62,$A92)+SUMIFS(Tennis!$D$13:$D$62,Tennis!$A$13:$A$62,$A92),0)</f>
        <v>0</v>
      </c>
    </row>
    <row r="93" spans="1:11" x14ac:dyDescent="0.35">
      <c r="A93" s="27">
        <v>46251</v>
      </c>
      <c r="B93" s="28">
        <f>SUMIFS(Gym!$H$13:$H$62,Gym!$A$13:$A$62,$A93)</f>
        <v>0</v>
      </c>
      <c r="C93" s="28">
        <f>SUMIFS(Workout!$D$13:$D$62,Workout!$A$13:$A$62,$A93)</f>
        <v>0</v>
      </c>
      <c r="D93" s="28">
        <f>SUMIFS(Run!$C$13:$C$62,Run!$A$13:$A$62,$A93)</f>
        <v>0</v>
      </c>
      <c r="E93" s="28">
        <f>SUMIFS(Walk!$C$13:$C$62,Walk!$A$13:$A$62,$A93)</f>
        <v>0</v>
      </c>
      <c r="F93" s="28">
        <f>SUMIFS(Swim!$C$13:$C$62,Swim!$A$13:$A$62,$A93)</f>
        <v>0</v>
      </c>
      <c r="G93" s="28">
        <f>SUMIFS(Cycle!$C$13:$C$62,Cycle!$A$13:$A$62,$A93)</f>
        <v>0</v>
      </c>
      <c r="H93" s="28">
        <f>SUMIFS(Tennis!$B$13:$B$62,Tennis!$A$13:$A$62,$A93)</f>
        <v>0</v>
      </c>
      <c r="I93" s="29">
        <f>SUMIFS(Sauna!$B$13:$B$62,Sauna!$A$13:$A$62,$A93)</f>
        <v>0</v>
      </c>
      <c r="J93" s="30">
        <f t="shared" si="2"/>
        <v>0</v>
      </c>
      <c r="K93" s="28">
        <f>ROUND(SUMIFS(Gym!$I$13:$I$62,Gym!$A$13:$A$62,$A93)+SUMIFS(Workout!$E$13:$E$62,Workout!$A$13:$A$62,$A93)+SUMIFS(Run!$F$13:$F$62,Run!$A$13:$A$62,$A93)+SUMIFS(Walk!$F$13:$F$62,Walk!$A$13:$A$62,$A93)+SUMIFS(Swim!$E$13:$E$62,Swim!$A$13:$A$62,$A93)+SUMIFS(Cycle!$E$13:$E$62,Cycle!$A$13:$A$62,$A93)+SUMIFS(Tennis!$D$13:$D$62,Tennis!$A$13:$A$62,$A93),0)</f>
        <v>0</v>
      </c>
    </row>
    <row r="94" spans="1:11" x14ac:dyDescent="0.35">
      <c r="A94" s="23">
        <v>46252</v>
      </c>
      <c r="B94" s="24">
        <f>SUMIFS(Gym!$H$13:$H$62,Gym!$A$13:$A$62,$A94)</f>
        <v>0</v>
      </c>
      <c r="C94" s="24">
        <f>SUMIFS(Workout!$D$13:$D$62,Workout!$A$13:$A$62,$A94)</f>
        <v>0</v>
      </c>
      <c r="D94" s="24">
        <f>SUMIFS(Run!$C$13:$C$62,Run!$A$13:$A$62,$A94)</f>
        <v>0</v>
      </c>
      <c r="E94" s="24">
        <f>SUMIFS(Walk!$C$13:$C$62,Walk!$A$13:$A$62,$A94)</f>
        <v>0</v>
      </c>
      <c r="F94" s="24">
        <f>SUMIFS(Swim!$C$13:$C$62,Swim!$A$13:$A$62,$A94)</f>
        <v>0</v>
      </c>
      <c r="G94" s="24">
        <f>SUMIFS(Cycle!$C$13:$C$62,Cycle!$A$13:$A$62,$A94)</f>
        <v>0</v>
      </c>
      <c r="H94" s="24">
        <f>SUMIFS(Tennis!$B$13:$B$62,Tennis!$A$13:$A$62,$A94)</f>
        <v>0</v>
      </c>
      <c r="I94" s="25">
        <f>SUMIFS(Sauna!$B$13:$B$62,Sauna!$A$13:$A$62,$A94)</f>
        <v>0</v>
      </c>
      <c r="J94" s="26">
        <f t="shared" si="2"/>
        <v>0</v>
      </c>
      <c r="K94" s="24">
        <f>ROUND(SUMIFS(Gym!$I$13:$I$62,Gym!$A$13:$A$62,$A94)+SUMIFS(Workout!$E$13:$E$62,Workout!$A$13:$A$62,$A94)+SUMIFS(Run!$F$13:$F$62,Run!$A$13:$A$62,$A94)+SUMIFS(Walk!$F$13:$F$62,Walk!$A$13:$A$62,$A94)+SUMIFS(Swim!$E$13:$E$62,Swim!$A$13:$A$62,$A94)+SUMIFS(Cycle!$E$13:$E$62,Cycle!$A$13:$A$62,$A94)+SUMIFS(Tennis!$D$13:$D$62,Tennis!$A$13:$A$62,$A94),0)</f>
        <v>0</v>
      </c>
    </row>
    <row r="95" spans="1:11" x14ac:dyDescent="0.35">
      <c r="A95" s="27">
        <v>46253</v>
      </c>
      <c r="B95" s="28">
        <f>SUMIFS(Gym!$H$13:$H$62,Gym!$A$13:$A$62,$A95)</f>
        <v>0</v>
      </c>
      <c r="C95" s="28">
        <f>SUMIFS(Workout!$D$13:$D$62,Workout!$A$13:$A$62,$A95)</f>
        <v>0</v>
      </c>
      <c r="D95" s="28">
        <f>SUMIFS(Run!$C$13:$C$62,Run!$A$13:$A$62,$A95)</f>
        <v>0</v>
      </c>
      <c r="E95" s="28">
        <f>SUMIFS(Walk!$C$13:$C$62,Walk!$A$13:$A$62,$A95)</f>
        <v>0</v>
      </c>
      <c r="F95" s="28">
        <f>SUMIFS(Swim!$C$13:$C$62,Swim!$A$13:$A$62,$A95)</f>
        <v>0</v>
      </c>
      <c r="G95" s="28">
        <f>SUMIFS(Cycle!$C$13:$C$62,Cycle!$A$13:$A$62,$A95)</f>
        <v>0</v>
      </c>
      <c r="H95" s="28">
        <f>SUMIFS(Tennis!$B$13:$B$62,Tennis!$A$13:$A$62,$A95)</f>
        <v>0</v>
      </c>
      <c r="I95" s="29">
        <f>SUMIFS(Sauna!$B$13:$B$62,Sauna!$A$13:$A$62,$A95)</f>
        <v>0</v>
      </c>
      <c r="J95" s="30">
        <f t="shared" si="2"/>
        <v>0</v>
      </c>
      <c r="K95" s="28">
        <f>ROUND(SUMIFS(Gym!$I$13:$I$62,Gym!$A$13:$A$62,$A95)+SUMIFS(Workout!$E$13:$E$62,Workout!$A$13:$A$62,$A95)+SUMIFS(Run!$F$13:$F$62,Run!$A$13:$A$62,$A95)+SUMIFS(Walk!$F$13:$F$62,Walk!$A$13:$A$62,$A95)+SUMIFS(Swim!$E$13:$E$62,Swim!$A$13:$A$62,$A95)+SUMIFS(Cycle!$E$13:$E$62,Cycle!$A$13:$A$62,$A95)+SUMIFS(Tennis!$D$13:$D$62,Tennis!$A$13:$A$62,$A95),0)</f>
        <v>0</v>
      </c>
    </row>
    <row r="96" spans="1:11" x14ac:dyDescent="0.35">
      <c r="A96" s="23">
        <v>46254</v>
      </c>
      <c r="B96" s="24">
        <f>SUMIFS(Gym!$H$13:$H$62,Gym!$A$13:$A$62,$A96)</f>
        <v>0</v>
      </c>
      <c r="C96" s="24">
        <f>SUMIFS(Workout!$D$13:$D$62,Workout!$A$13:$A$62,$A96)</f>
        <v>0</v>
      </c>
      <c r="D96" s="24">
        <f>SUMIFS(Run!$C$13:$C$62,Run!$A$13:$A$62,$A96)</f>
        <v>0</v>
      </c>
      <c r="E96" s="24">
        <f>SUMIFS(Walk!$C$13:$C$62,Walk!$A$13:$A$62,$A96)</f>
        <v>0</v>
      </c>
      <c r="F96" s="24">
        <f>SUMIFS(Swim!$C$13:$C$62,Swim!$A$13:$A$62,$A96)</f>
        <v>0</v>
      </c>
      <c r="G96" s="24">
        <f>SUMIFS(Cycle!$C$13:$C$62,Cycle!$A$13:$A$62,$A96)</f>
        <v>0</v>
      </c>
      <c r="H96" s="24">
        <f>SUMIFS(Tennis!$B$13:$B$62,Tennis!$A$13:$A$62,$A96)</f>
        <v>0</v>
      </c>
      <c r="I96" s="25">
        <f>SUMIFS(Sauna!$B$13:$B$62,Sauna!$A$13:$A$62,$A96)</f>
        <v>0</v>
      </c>
      <c r="J96" s="26">
        <f t="shared" si="2"/>
        <v>0</v>
      </c>
      <c r="K96" s="24">
        <f>ROUND(SUMIFS(Gym!$I$13:$I$62,Gym!$A$13:$A$62,$A96)+SUMIFS(Workout!$E$13:$E$62,Workout!$A$13:$A$62,$A96)+SUMIFS(Run!$F$13:$F$62,Run!$A$13:$A$62,$A96)+SUMIFS(Walk!$F$13:$F$62,Walk!$A$13:$A$62,$A96)+SUMIFS(Swim!$E$13:$E$62,Swim!$A$13:$A$62,$A96)+SUMIFS(Cycle!$E$13:$E$62,Cycle!$A$13:$A$62,$A96)+SUMIFS(Tennis!$D$13:$D$62,Tennis!$A$13:$A$62,$A96),0)</f>
        <v>0</v>
      </c>
    </row>
    <row r="97" spans="1:11" x14ac:dyDescent="0.35">
      <c r="A97" s="27">
        <v>46255</v>
      </c>
      <c r="B97" s="28">
        <f>SUMIFS(Gym!$H$13:$H$62,Gym!$A$13:$A$62,$A97)</f>
        <v>0</v>
      </c>
      <c r="C97" s="28">
        <f>SUMIFS(Workout!$D$13:$D$62,Workout!$A$13:$A$62,$A97)</f>
        <v>0</v>
      </c>
      <c r="D97" s="28">
        <f>SUMIFS(Run!$C$13:$C$62,Run!$A$13:$A$62,$A97)</f>
        <v>0</v>
      </c>
      <c r="E97" s="28">
        <f>SUMIFS(Walk!$C$13:$C$62,Walk!$A$13:$A$62,$A97)</f>
        <v>0</v>
      </c>
      <c r="F97" s="28">
        <f>SUMIFS(Swim!$C$13:$C$62,Swim!$A$13:$A$62,$A97)</f>
        <v>0</v>
      </c>
      <c r="G97" s="28">
        <f>SUMIFS(Cycle!$C$13:$C$62,Cycle!$A$13:$A$62,$A97)</f>
        <v>0</v>
      </c>
      <c r="H97" s="28">
        <f>SUMIFS(Tennis!$B$13:$B$62,Tennis!$A$13:$A$62,$A97)</f>
        <v>0</v>
      </c>
      <c r="I97" s="29">
        <f>SUMIFS(Sauna!$B$13:$B$62,Sauna!$A$13:$A$62,$A97)</f>
        <v>0</v>
      </c>
      <c r="J97" s="30">
        <f t="shared" si="2"/>
        <v>0</v>
      </c>
      <c r="K97" s="28">
        <f>ROUND(SUMIFS(Gym!$I$13:$I$62,Gym!$A$13:$A$62,$A97)+SUMIFS(Workout!$E$13:$E$62,Workout!$A$13:$A$62,$A97)+SUMIFS(Run!$F$13:$F$62,Run!$A$13:$A$62,$A97)+SUMIFS(Walk!$F$13:$F$62,Walk!$A$13:$A$62,$A97)+SUMIFS(Swim!$E$13:$E$62,Swim!$A$13:$A$62,$A97)+SUMIFS(Cycle!$E$13:$E$62,Cycle!$A$13:$A$62,$A97)+SUMIFS(Tennis!$D$13:$D$62,Tennis!$A$13:$A$62,$A97),0)</f>
        <v>0</v>
      </c>
    </row>
    <row r="98" spans="1:11" x14ac:dyDescent="0.35">
      <c r="A98" s="23">
        <v>46256</v>
      </c>
      <c r="B98" s="24">
        <f>SUMIFS(Gym!$H$13:$H$62,Gym!$A$13:$A$62,$A98)</f>
        <v>0</v>
      </c>
      <c r="C98" s="24">
        <f>SUMIFS(Workout!$D$13:$D$62,Workout!$A$13:$A$62,$A98)</f>
        <v>0</v>
      </c>
      <c r="D98" s="24">
        <f>SUMIFS(Run!$C$13:$C$62,Run!$A$13:$A$62,$A98)</f>
        <v>0</v>
      </c>
      <c r="E98" s="24">
        <f>SUMIFS(Walk!$C$13:$C$62,Walk!$A$13:$A$62,$A98)</f>
        <v>0</v>
      </c>
      <c r="F98" s="24">
        <f>SUMIFS(Swim!$C$13:$C$62,Swim!$A$13:$A$62,$A98)</f>
        <v>0</v>
      </c>
      <c r="G98" s="24">
        <f>SUMIFS(Cycle!$C$13:$C$62,Cycle!$A$13:$A$62,$A98)</f>
        <v>0</v>
      </c>
      <c r="H98" s="24">
        <f>SUMIFS(Tennis!$B$13:$B$62,Tennis!$A$13:$A$62,$A98)</f>
        <v>0</v>
      </c>
      <c r="I98" s="25">
        <f>SUMIFS(Sauna!$B$13:$B$62,Sauna!$A$13:$A$62,$A98)</f>
        <v>0</v>
      </c>
      <c r="J98" s="26">
        <f t="shared" si="2"/>
        <v>0</v>
      </c>
      <c r="K98" s="24">
        <f>ROUND(SUMIFS(Gym!$I$13:$I$62,Gym!$A$13:$A$62,$A98)+SUMIFS(Workout!$E$13:$E$62,Workout!$A$13:$A$62,$A98)+SUMIFS(Run!$F$13:$F$62,Run!$A$13:$A$62,$A98)+SUMIFS(Walk!$F$13:$F$62,Walk!$A$13:$A$62,$A98)+SUMIFS(Swim!$E$13:$E$62,Swim!$A$13:$A$62,$A98)+SUMIFS(Cycle!$E$13:$E$62,Cycle!$A$13:$A$62,$A98)+SUMIFS(Tennis!$D$13:$D$62,Tennis!$A$13:$A$62,$A98),0)</f>
        <v>0</v>
      </c>
    </row>
    <row r="99" spans="1:11" x14ac:dyDescent="0.35">
      <c r="A99" s="27">
        <v>46257</v>
      </c>
      <c r="B99" s="28">
        <f>SUMIFS(Gym!$H$13:$H$62,Gym!$A$13:$A$62,$A99)</f>
        <v>0</v>
      </c>
      <c r="C99" s="28">
        <f>SUMIFS(Workout!$D$13:$D$62,Workout!$A$13:$A$62,$A99)</f>
        <v>0</v>
      </c>
      <c r="D99" s="28">
        <f>SUMIFS(Run!$C$13:$C$62,Run!$A$13:$A$62,$A99)</f>
        <v>0</v>
      </c>
      <c r="E99" s="28">
        <f>SUMIFS(Walk!$C$13:$C$62,Walk!$A$13:$A$62,$A99)</f>
        <v>0</v>
      </c>
      <c r="F99" s="28">
        <f>SUMIFS(Swim!$C$13:$C$62,Swim!$A$13:$A$62,$A99)</f>
        <v>0</v>
      </c>
      <c r="G99" s="28">
        <f>SUMIFS(Cycle!$C$13:$C$62,Cycle!$A$13:$A$62,$A99)</f>
        <v>0</v>
      </c>
      <c r="H99" s="28">
        <f>SUMIFS(Tennis!$B$13:$B$62,Tennis!$A$13:$A$62,$A99)</f>
        <v>0</v>
      </c>
      <c r="I99" s="29">
        <f>SUMIFS(Sauna!$B$13:$B$62,Sauna!$A$13:$A$62,$A99)</f>
        <v>0</v>
      </c>
      <c r="J99" s="30">
        <f t="shared" si="2"/>
        <v>0</v>
      </c>
      <c r="K99" s="28">
        <f>ROUND(SUMIFS(Gym!$I$13:$I$62,Gym!$A$13:$A$62,$A99)+SUMIFS(Workout!$E$13:$E$62,Workout!$A$13:$A$62,$A99)+SUMIFS(Run!$F$13:$F$62,Run!$A$13:$A$62,$A99)+SUMIFS(Walk!$F$13:$F$62,Walk!$A$13:$A$62,$A99)+SUMIFS(Swim!$E$13:$E$62,Swim!$A$13:$A$62,$A99)+SUMIFS(Cycle!$E$13:$E$62,Cycle!$A$13:$A$62,$A99)+SUMIFS(Tennis!$D$13:$D$62,Tennis!$A$13:$A$62,$A99),0)</f>
        <v>0</v>
      </c>
    </row>
    <row r="100" spans="1:11" x14ac:dyDescent="0.35">
      <c r="A100" s="23">
        <v>46258</v>
      </c>
      <c r="B100" s="24">
        <f>SUMIFS(Gym!$H$13:$H$62,Gym!$A$13:$A$62,$A100)</f>
        <v>0</v>
      </c>
      <c r="C100" s="24">
        <f>SUMIFS(Workout!$D$13:$D$62,Workout!$A$13:$A$62,$A100)</f>
        <v>0</v>
      </c>
      <c r="D100" s="24">
        <f>SUMIFS(Run!$C$13:$C$62,Run!$A$13:$A$62,$A100)</f>
        <v>0</v>
      </c>
      <c r="E100" s="24">
        <f>SUMIFS(Walk!$C$13:$C$62,Walk!$A$13:$A$62,$A100)</f>
        <v>0</v>
      </c>
      <c r="F100" s="24">
        <f>SUMIFS(Swim!$C$13:$C$62,Swim!$A$13:$A$62,$A100)</f>
        <v>0</v>
      </c>
      <c r="G100" s="24">
        <f>SUMIFS(Cycle!$C$13:$C$62,Cycle!$A$13:$A$62,$A100)</f>
        <v>0</v>
      </c>
      <c r="H100" s="24">
        <f>SUMIFS(Tennis!$B$13:$B$62,Tennis!$A$13:$A$62,$A100)</f>
        <v>0</v>
      </c>
      <c r="I100" s="25">
        <f>SUMIFS(Sauna!$B$13:$B$62,Sauna!$A$13:$A$62,$A100)</f>
        <v>0</v>
      </c>
      <c r="J100" s="26">
        <f t="shared" si="2"/>
        <v>0</v>
      </c>
      <c r="K100" s="24">
        <f>ROUND(SUMIFS(Gym!$I$13:$I$62,Gym!$A$13:$A$62,$A100)+SUMIFS(Workout!$E$13:$E$62,Workout!$A$13:$A$62,$A100)+SUMIFS(Run!$F$13:$F$62,Run!$A$13:$A$62,$A100)+SUMIFS(Walk!$F$13:$F$62,Walk!$A$13:$A$62,$A100)+SUMIFS(Swim!$E$13:$E$62,Swim!$A$13:$A$62,$A100)+SUMIFS(Cycle!$E$13:$E$62,Cycle!$A$13:$A$62,$A100)+SUMIFS(Tennis!$D$13:$D$62,Tennis!$A$13:$A$62,$A100),0)</f>
        <v>0</v>
      </c>
    </row>
    <row r="101" spans="1:11" x14ac:dyDescent="0.35">
      <c r="A101" s="27">
        <v>46259</v>
      </c>
      <c r="B101" s="28">
        <f>SUMIFS(Gym!$H$13:$H$62,Gym!$A$13:$A$62,$A101)</f>
        <v>0</v>
      </c>
      <c r="C101" s="28">
        <f>SUMIFS(Workout!$D$13:$D$62,Workout!$A$13:$A$62,$A101)</f>
        <v>0</v>
      </c>
      <c r="D101" s="28">
        <f>SUMIFS(Run!$C$13:$C$62,Run!$A$13:$A$62,$A101)</f>
        <v>0</v>
      </c>
      <c r="E101" s="28">
        <f>SUMIFS(Walk!$C$13:$C$62,Walk!$A$13:$A$62,$A101)</f>
        <v>0</v>
      </c>
      <c r="F101" s="28">
        <f>SUMIFS(Swim!$C$13:$C$62,Swim!$A$13:$A$62,$A101)</f>
        <v>0</v>
      </c>
      <c r="G101" s="28">
        <f>SUMIFS(Cycle!$C$13:$C$62,Cycle!$A$13:$A$62,$A101)</f>
        <v>0</v>
      </c>
      <c r="H101" s="28">
        <f>SUMIFS(Tennis!$B$13:$B$62,Tennis!$A$13:$A$62,$A101)</f>
        <v>0</v>
      </c>
      <c r="I101" s="29">
        <f>SUMIFS(Sauna!$B$13:$B$62,Sauna!$A$13:$A$62,$A101)</f>
        <v>0</v>
      </c>
      <c r="J101" s="30">
        <f t="shared" si="2"/>
        <v>0</v>
      </c>
      <c r="K101" s="28">
        <f>ROUND(SUMIFS(Gym!$I$13:$I$62,Gym!$A$13:$A$62,$A101)+SUMIFS(Workout!$E$13:$E$62,Workout!$A$13:$A$62,$A101)+SUMIFS(Run!$F$13:$F$62,Run!$A$13:$A$62,$A101)+SUMIFS(Walk!$F$13:$F$62,Walk!$A$13:$A$62,$A101)+SUMIFS(Swim!$E$13:$E$62,Swim!$A$13:$A$62,$A101)+SUMIFS(Cycle!$E$13:$E$62,Cycle!$A$13:$A$62,$A101)+SUMIFS(Tennis!$D$13:$D$62,Tennis!$A$13:$A$62,$A101),0)</f>
        <v>0</v>
      </c>
    </row>
    <row r="102" spans="1:11" x14ac:dyDescent="0.35">
      <c r="A102" s="23">
        <v>46260</v>
      </c>
      <c r="B102" s="24">
        <f>SUMIFS(Gym!$H$13:$H$62,Gym!$A$13:$A$62,$A102)</f>
        <v>0</v>
      </c>
      <c r="C102" s="24">
        <f>SUMIFS(Workout!$D$13:$D$62,Workout!$A$13:$A$62,$A102)</f>
        <v>0</v>
      </c>
      <c r="D102" s="24">
        <f>SUMIFS(Run!$C$13:$C$62,Run!$A$13:$A$62,$A102)</f>
        <v>0</v>
      </c>
      <c r="E102" s="24">
        <f>SUMIFS(Walk!$C$13:$C$62,Walk!$A$13:$A$62,$A102)</f>
        <v>0</v>
      </c>
      <c r="F102" s="24">
        <f>SUMIFS(Swim!$C$13:$C$62,Swim!$A$13:$A$62,$A102)</f>
        <v>0</v>
      </c>
      <c r="G102" s="24">
        <f>SUMIFS(Cycle!$C$13:$C$62,Cycle!$A$13:$A$62,$A102)</f>
        <v>0</v>
      </c>
      <c r="H102" s="24">
        <f>SUMIFS(Tennis!$B$13:$B$62,Tennis!$A$13:$A$62,$A102)</f>
        <v>0</v>
      </c>
      <c r="I102" s="25">
        <f>SUMIFS(Sauna!$B$13:$B$62,Sauna!$A$13:$A$62,$A102)</f>
        <v>0</v>
      </c>
      <c r="J102" s="26">
        <f t="shared" si="2"/>
        <v>0</v>
      </c>
      <c r="K102" s="24">
        <f>ROUND(SUMIFS(Gym!$I$13:$I$62,Gym!$A$13:$A$62,$A102)+SUMIFS(Workout!$E$13:$E$62,Workout!$A$13:$A$62,$A102)+SUMIFS(Run!$F$13:$F$62,Run!$A$13:$A$62,$A102)+SUMIFS(Walk!$F$13:$F$62,Walk!$A$13:$A$62,$A102)+SUMIFS(Swim!$E$13:$E$62,Swim!$A$13:$A$62,$A102)+SUMIFS(Cycle!$E$13:$E$62,Cycle!$A$13:$A$62,$A102)+SUMIFS(Tennis!$D$13:$D$62,Tennis!$A$13:$A$62,$A102),0)</f>
        <v>0</v>
      </c>
    </row>
    <row r="103" spans="1:11" x14ac:dyDescent="0.35">
      <c r="A103" s="27">
        <v>46261</v>
      </c>
      <c r="B103" s="28">
        <f>SUMIFS(Gym!$H$13:$H$62,Gym!$A$13:$A$62,$A103)</f>
        <v>0</v>
      </c>
      <c r="C103" s="28">
        <f>SUMIFS(Workout!$D$13:$D$62,Workout!$A$13:$A$62,$A103)</f>
        <v>0</v>
      </c>
      <c r="D103" s="28">
        <f>SUMIFS(Run!$C$13:$C$62,Run!$A$13:$A$62,$A103)</f>
        <v>0</v>
      </c>
      <c r="E103" s="28">
        <f>SUMIFS(Walk!$C$13:$C$62,Walk!$A$13:$A$62,$A103)</f>
        <v>0</v>
      </c>
      <c r="F103" s="28">
        <f>SUMIFS(Swim!$C$13:$C$62,Swim!$A$13:$A$62,$A103)</f>
        <v>0</v>
      </c>
      <c r="G103" s="28">
        <f>SUMIFS(Cycle!$C$13:$C$62,Cycle!$A$13:$A$62,$A103)</f>
        <v>0</v>
      </c>
      <c r="H103" s="28">
        <f>SUMIFS(Tennis!$B$13:$B$62,Tennis!$A$13:$A$62,$A103)</f>
        <v>0</v>
      </c>
      <c r="I103" s="29">
        <f>SUMIFS(Sauna!$B$13:$B$62,Sauna!$A$13:$A$62,$A103)</f>
        <v>0</v>
      </c>
      <c r="J103" s="30">
        <f t="shared" si="2"/>
        <v>0</v>
      </c>
      <c r="K103" s="28">
        <f>ROUND(SUMIFS(Gym!$I$13:$I$62,Gym!$A$13:$A$62,$A103)+SUMIFS(Workout!$E$13:$E$62,Workout!$A$13:$A$62,$A103)+SUMIFS(Run!$F$13:$F$62,Run!$A$13:$A$62,$A103)+SUMIFS(Walk!$F$13:$F$62,Walk!$A$13:$A$62,$A103)+SUMIFS(Swim!$E$13:$E$62,Swim!$A$13:$A$62,$A103)+SUMIFS(Cycle!$E$13:$E$62,Cycle!$A$13:$A$62,$A103)+SUMIFS(Tennis!$D$13:$D$62,Tennis!$A$13:$A$62,$A103),0)</f>
        <v>0</v>
      </c>
    </row>
    <row r="104" spans="1:11" x14ac:dyDescent="0.35">
      <c r="A104" s="23">
        <v>46262</v>
      </c>
      <c r="B104" s="24">
        <f>SUMIFS(Gym!$H$13:$H$62,Gym!$A$13:$A$62,$A104)</f>
        <v>0</v>
      </c>
      <c r="C104" s="24">
        <f>SUMIFS(Workout!$D$13:$D$62,Workout!$A$13:$A$62,$A104)</f>
        <v>0</v>
      </c>
      <c r="D104" s="24">
        <f>SUMIFS(Run!$C$13:$C$62,Run!$A$13:$A$62,$A104)</f>
        <v>0</v>
      </c>
      <c r="E104" s="24">
        <f>SUMIFS(Walk!$C$13:$C$62,Walk!$A$13:$A$62,$A104)</f>
        <v>0</v>
      </c>
      <c r="F104" s="24">
        <f>SUMIFS(Swim!$C$13:$C$62,Swim!$A$13:$A$62,$A104)</f>
        <v>0</v>
      </c>
      <c r="G104" s="24">
        <f>SUMIFS(Cycle!$C$13:$C$62,Cycle!$A$13:$A$62,$A104)</f>
        <v>0</v>
      </c>
      <c r="H104" s="24">
        <f>SUMIFS(Tennis!$B$13:$B$62,Tennis!$A$13:$A$62,$A104)</f>
        <v>0</v>
      </c>
      <c r="I104" s="25">
        <f>SUMIFS(Sauna!$B$13:$B$62,Sauna!$A$13:$A$62,$A104)</f>
        <v>0</v>
      </c>
      <c r="J104" s="26">
        <f t="shared" si="2"/>
        <v>0</v>
      </c>
      <c r="K104" s="24">
        <f>ROUND(SUMIFS(Gym!$I$13:$I$62,Gym!$A$13:$A$62,$A104)+SUMIFS(Workout!$E$13:$E$62,Workout!$A$13:$A$62,$A104)+SUMIFS(Run!$F$13:$F$62,Run!$A$13:$A$62,$A104)+SUMIFS(Walk!$F$13:$F$62,Walk!$A$13:$A$62,$A104)+SUMIFS(Swim!$E$13:$E$62,Swim!$A$13:$A$62,$A104)+SUMIFS(Cycle!$E$13:$E$62,Cycle!$A$13:$A$62,$A104)+SUMIFS(Tennis!$D$13:$D$62,Tennis!$A$13:$A$62,$A104),0)</f>
        <v>0</v>
      </c>
    </row>
    <row r="105" spans="1:11" x14ac:dyDescent="0.35">
      <c r="A105" s="27">
        <v>46263</v>
      </c>
      <c r="B105" s="28">
        <f>SUMIFS(Gym!$H$13:$H$62,Gym!$A$13:$A$62,$A105)</f>
        <v>0</v>
      </c>
      <c r="C105" s="28">
        <f>SUMIFS(Workout!$D$13:$D$62,Workout!$A$13:$A$62,$A105)</f>
        <v>0</v>
      </c>
      <c r="D105" s="28">
        <f>SUMIFS(Run!$C$13:$C$62,Run!$A$13:$A$62,$A105)</f>
        <v>0</v>
      </c>
      <c r="E105" s="28">
        <f>SUMIFS(Walk!$C$13:$C$62,Walk!$A$13:$A$62,$A105)</f>
        <v>0</v>
      </c>
      <c r="F105" s="28">
        <f>SUMIFS(Swim!$C$13:$C$62,Swim!$A$13:$A$62,$A105)</f>
        <v>0</v>
      </c>
      <c r="G105" s="28">
        <f>SUMIFS(Cycle!$C$13:$C$62,Cycle!$A$13:$A$62,$A105)</f>
        <v>0</v>
      </c>
      <c r="H105" s="28">
        <f>SUMIFS(Tennis!$B$13:$B$62,Tennis!$A$13:$A$62,$A105)</f>
        <v>0</v>
      </c>
      <c r="I105" s="29">
        <f>SUMIFS(Sauna!$B$13:$B$62,Sauna!$A$13:$A$62,$A105)</f>
        <v>0</v>
      </c>
      <c r="J105" s="30">
        <f t="shared" si="2"/>
        <v>0</v>
      </c>
      <c r="K105" s="28">
        <f>ROUND(SUMIFS(Gym!$I$13:$I$62,Gym!$A$13:$A$62,$A105)+SUMIFS(Workout!$E$13:$E$62,Workout!$A$13:$A$62,$A105)+SUMIFS(Run!$F$13:$F$62,Run!$A$13:$A$62,$A105)+SUMIFS(Walk!$F$13:$F$62,Walk!$A$13:$A$62,$A105)+SUMIFS(Swim!$E$13:$E$62,Swim!$A$13:$A$62,$A105)+SUMIFS(Cycle!$E$13:$E$62,Cycle!$A$13:$A$62,$A105)+SUMIFS(Tennis!$D$13:$D$62,Tennis!$A$13:$A$62,$A105),0)</f>
        <v>0</v>
      </c>
    </row>
    <row r="106" spans="1:11" x14ac:dyDescent="0.35">
      <c r="A106" s="23">
        <v>46264</v>
      </c>
      <c r="B106" s="24">
        <f>SUMIFS(Gym!$H$13:$H$62,Gym!$A$13:$A$62,$A106)</f>
        <v>0</v>
      </c>
      <c r="C106" s="24">
        <f>SUMIFS(Workout!$D$13:$D$62,Workout!$A$13:$A$62,$A106)</f>
        <v>0</v>
      </c>
      <c r="D106" s="24">
        <f>SUMIFS(Run!$C$13:$C$62,Run!$A$13:$A$62,$A106)</f>
        <v>0</v>
      </c>
      <c r="E106" s="24">
        <f>SUMIFS(Walk!$C$13:$C$62,Walk!$A$13:$A$62,$A106)</f>
        <v>0</v>
      </c>
      <c r="F106" s="24">
        <f>SUMIFS(Swim!$C$13:$C$62,Swim!$A$13:$A$62,$A106)</f>
        <v>0</v>
      </c>
      <c r="G106" s="24">
        <f>SUMIFS(Cycle!$C$13:$C$62,Cycle!$A$13:$A$62,$A106)</f>
        <v>0</v>
      </c>
      <c r="H106" s="24">
        <f>SUMIFS(Tennis!$B$13:$B$62,Tennis!$A$13:$A$62,$A106)</f>
        <v>0</v>
      </c>
      <c r="I106" s="25">
        <f>SUMIFS(Sauna!$B$13:$B$62,Sauna!$A$13:$A$62,$A106)</f>
        <v>0</v>
      </c>
      <c r="J106" s="26">
        <f t="shared" si="2"/>
        <v>0</v>
      </c>
      <c r="K106" s="24">
        <f>ROUND(SUMIFS(Gym!$I$13:$I$62,Gym!$A$13:$A$62,$A106)+SUMIFS(Workout!$E$13:$E$62,Workout!$A$13:$A$62,$A106)+SUMIFS(Run!$F$13:$F$62,Run!$A$13:$A$62,$A106)+SUMIFS(Walk!$F$13:$F$62,Walk!$A$13:$A$62,$A106)+SUMIFS(Swim!$E$13:$E$62,Swim!$A$13:$A$62,$A106)+SUMIFS(Cycle!$E$13:$E$62,Cycle!$A$13:$A$62,$A106)+SUMIFS(Tennis!$D$13:$D$62,Tennis!$A$13:$A$62,$A106),0)</f>
        <v>0</v>
      </c>
    </row>
    <row r="107" spans="1:11" x14ac:dyDescent="0.35">
      <c r="A107" s="27">
        <v>46265</v>
      </c>
      <c r="B107" s="28">
        <f>SUMIFS(Gym!$H$13:$H$62,Gym!$A$13:$A$62,$A107)</f>
        <v>0</v>
      </c>
      <c r="C107" s="28">
        <f>SUMIFS(Workout!$D$13:$D$62,Workout!$A$13:$A$62,$A107)</f>
        <v>0</v>
      </c>
      <c r="D107" s="28">
        <f>SUMIFS(Run!$C$13:$C$62,Run!$A$13:$A$62,$A107)</f>
        <v>0</v>
      </c>
      <c r="E107" s="28">
        <f>SUMIFS(Walk!$C$13:$C$62,Walk!$A$13:$A$62,$A107)</f>
        <v>0</v>
      </c>
      <c r="F107" s="28">
        <f>SUMIFS(Swim!$C$13:$C$62,Swim!$A$13:$A$62,$A107)</f>
        <v>0</v>
      </c>
      <c r="G107" s="28">
        <f>SUMIFS(Cycle!$C$13:$C$62,Cycle!$A$13:$A$62,$A107)</f>
        <v>0</v>
      </c>
      <c r="H107" s="28">
        <f>SUMIFS(Tennis!$B$13:$B$62,Tennis!$A$13:$A$62,$A107)</f>
        <v>0</v>
      </c>
      <c r="I107" s="29">
        <f>SUMIFS(Sauna!$B$13:$B$62,Sauna!$A$13:$A$62,$A107)</f>
        <v>0</v>
      </c>
      <c r="J107" s="30">
        <f t="shared" si="2"/>
        <v>0</v>
      </c>
      <c r="K107" s="28">
        <f>ROUND(SUMIFS(Gym!$I$13:$I$62,Gym!$A$13:$A$62,$A107)+SUMIFS(Workout!$E$13:$E$62,Workout!$A$13:$A$62,$A107)+SUMIFS(Run!$F$13:$F$62,Run!$A$13:$A$62,$A107)+SUMIFS(Walk!$F$13:$F$62,Walk!$A$13:$A$62,$A107)+SUMIFS(Swim!$E$13:$E$62,Swim!$A$13:$A$62,$A107)+SUMIFS(Cycle!$E$13:$E$62,Cycle!$A$13:$A$62,$A107)+SUMIFS(Tennis!$D$13:$D$62,Tennis!$A$13:$A$62,$A107),0)</f>
        <v>0</v>
      </c>
    </row>
    <row r="108" spans="1:11" x14ac:dyDescent="0.35">
      <c r="A108" s="23">
        <v>46266</v>
      </c>
      <c r="B108" s="24">
        <f>SUMIFS(Gym!$H$13:$H$62,Gym!$A$13:$A$62,$A108)</f>
        <v>0</v>
      </c>
      <c r="C108" s="24">
        <f>SUMIFS(Workout!$D$13:$D$62,Workout!$A$13:$A$62,$A108)</f>
        <v>0</v>
      </c>
      <c r="D108" s="24">
        <f>SUMIFS(Run!$C$13:$C$62,Run!$A$13:$A$62,$A108)</f>
        <v>0</v>
      </c>
      <c r="E108" s="24">
        <f>SUMIFS(Walk!$C$13:$C$62,Walk!$A$13:$A$62,$A108)</f>
        <v>0</v>
      </c>
      <c r="F108" s="24">
        <f>SUMIFS(Swim!$C$13:$C$62,Swim!$A$13:$A$62,$A108)</f>
        <v>0</v>
      </c>
      <c r="G108" s="24">
        <f>SUMIFS(Cycle!$C$13:$C$62,Cycle!$A$13:$A$62,$A108)</f>
        <v>0</v>
      </c>
      <c r="H108" s="24">
        <f>SUMIFS(Tennis!$B$13:$B$62,Tennis!$A$13:$A$62,$A108)</f>
        <v>0</v>
      </c>
      <c r="I108" s="25">
        <f>SUMIFS(Sauna!$B$13:$B$62,Sauna!$A$13:$A$62,$A108)</f>
        <v>0</v>
      </c>
      <c r="J108" s="26">
        <f t="shared" si="2"/>
        <v>0</v>
      </c>
      <c r="K108" s="24">
        <f>ROUND(SUMIFS(Gym!$I$13:$I$62,Gym!$A$13:$A$62,$A108)+SUMIFS(Workout!$E$13:$E$62,Workout!$A$13:$A$62,$A108)+SUMIFS(Run!$F$13:$F$62,Run!$A$13:$A$62,$A108)+SUMIFS(Walk!$F$13:$F$62,Walk!$A$13:$A$62,$A108)+SUMIFS(Swim!$E$13:$E$62,Swim!$A$13:$A$62,$A108)+SUMIFS(Cycle!$E$13:$E$62,Cycle!$A$13:$A$62,$A108)+SUMIFS(Tennis!$D$13:$D$62,Tennis!$A$13:$A$62,$A108),0)</f>
        <v>0</v>
      </c>
    </row>
    <row r="109" spans="1:11" x14ac:dyDescent="0.35">
      <c r="A109" s="27">
        <v>46267</v>
      </c>
      <c r="B109" s="28">
        <f>SUMIFS(Gym!$H$13:$H$62,Gym!$A$13:$A$62,$A109)</f>
        <v>0</v>
      </c>
      <c r="C109" s="28">
        <f>SUMIFS(Workout!$D$13:$D$62,Workout!$A$13:$A$62,$A109)</f>
        <v>0</v>
      </c>
      <c r="D109" s="28">
        <f>SUMIFS(Run!$C$13:$C$62,Run!$A$13:$A$62,$A109)</f>
        <v>0</v>
      </c>
      <c r="E109" s="28">
        <f>SUMIFS(Walk!$C$13:$C$62,Walk!$A$13:$A$62,$A109)</f>
        <v>0</v>
      </c>
      <c r="F109" s="28">
        <f>SUMIFS(Swim!$C$13:$C$62,Swim!$A$13:$A$62,$A109)</f>
        <v>0</v>
      </c>
      <c r="G109" s="28">
        <f>SUMIFS(Cycle!$C$13:$C$62,Cycle!$A$13:$A$62,$A109)</f>
        <v>0</v>
      </c>
      <c r="H109" s="28">
        <f>SUMIFS(Tennis!$B$13:$B$62,Tennis!$A$13:$A$62,$A109)</f>
        <v>0</v>
      </c>
      <c r="I109" s="29">
        <f>SUMIFS(Sauna!$B$13:$B$62,Sauna!$A$13:$A$62,$A109)</f>
        <v>0</v>
      </c>
      <c r="J109" s="30">
        <f t="shared" si="2"/>
        <v>0</v>
      </c>
      <c r="K109" s="28">
        <f>ROUND(SUMIFS(Gym!$I$13:$I$62,Gym!$A$13:$A$62,$A109)+SUMIFS(Workout!$E$13:$E$62,Workout!$A$13:$A$62,$A109)+SUMIFS(Run!$F$13:$F$62,Run!$A$13:$A$62,$A109)+SUMIFS(Walk!$F$13:$F$62,Walk!$A$13:$A$62,$A109)+SUMIFS(Swim!$E$13:$E$62,Swim!$A$13:$A$62,$A109)+SUMIFS(Cycle!$E$13:$E$62,Cycle!$A$13:$A$62,$A109)+SUMIFS(Tennis!$D$13:$D$62,Tennis!$A$13:$A$62,$A109),0)</f>
        <v>0</v>
      </c>
    </row>
    <row r="110" spans="1:11" x14ac:dyDescent="0.35">
      <c r="A110" s="23">
        <v>46268</v>
      </c>
      <c r="B110" s="24">
        <f>SUMIFS(Gym!$H$13:$H$62,Gym!$A$13:$A$62,$A110)</f>
        <v>0</v>
      </c>
      <c r="C110" s="24">
        <f>SUMIFS(Workout!$D$13:$D$62,Workout!$A$13:$A$62,$A110)</f>
        <v>0</v>
      </c>
      <c r="D110" s="24">
        <f>SUMIFS(Run!$C$13:$C$62,Run!$A$13:$A$62,$A110)</f>
        <v>0</v>
      </c>
      <c r="E110" s="24">
        <f>SUMIFS(Walk!$C$13:$C$62,Walk!$A$13:$A$62,$A110)</f>
        <v>0</v>
      </c>
      <c r="F110" s="24">
        <f>SUMIFS(Swim!$C$13:$C$62,Swim!$A$13:$A$62,$A110)</f>
        <v>0</v>
      </c>
      <c r="G110" s="24">
        <f>SUMIFS(Cycle!$C$13:$C$62,Cycle!$A$13:$A$62,$A110)</f>
        <v>0</v>
      </c>
      <c r="H110" s="24">
        <f>SUMIFS(Tennis!$B$13:$B$62,Tennis!$A$13:$A$62,$A110)</f>
        <v>0</v>
      </c>
      <c r="I110" s="25">
        <f>SUMIFS(Sauna!$B$13:$B$62,Sauna!$A$13:$A$62,$A110)</f>
        <v>0</v>
      </c>
      <c r="J110" s="26">
        <f t="shared" si="2"/>
        <v>0</v>
      </c>
      <c r="K110" s="24">
        <f>ROUND(SUMIFS(Gym!$I$13:$I$62,Gym!$A$13:$A$62,$A110)+SUMIFS(Workout!$E$13:$E$62,Workout!$A$13:$A$62,$A110)+SUMIFS(Run!$F$13:$F$62,Run!$A$13:$A$62,$A110)+SUMIFS(Walk!$F$13:$F$62,Walk!$A$13:$A$62,$A110)+SUMIFS(Swim!$E$13:$E$62,Swim!$A$13:$A$62,$A110)+SUMIFS(Cycle!$E$13:$E$62,Cycle!$A$13:$A$62,$A110)+SUMIFS(Tennis!$D$13:$D$62,Tennis!$A$13:$A$62,$A110),0)</f>
        <v>0</v>
      </c>
    </row>
    <row r="111" spans="1:11" x14ac:dyDescent="0.35">
      <c r="A111" s="27">
        <v>46269</v>
      </c>
      <c r="B111" s="28">
        <f>SUMIFS(Gym!$H$13:$H$62,Gym!$A$13:$A$62,$A111)</f>
        <v>0</v>
      </c>
      <c r="C111" s="28">
        <f>SUMIFS(Workout!$D$13:$D$62,Workout!$A$13:$A$62,$A111)</f>
        <v>0</v>
      </c>
      <c r="D111" s="28">
        <f>SUMIFS(Run!$C$13:$C$62,Run!$A$13:$A$62,$A111)</f>
        <v>0</v>
      </c>
      <c r="E111" s="28">
        <f>SUMIFS(Walk!$C$13:$C$62,Walk!$A$13:$A$62,$A111)</f>
        <v>0</v>
      </c>
      <c r="F111" s="28">
        <f>SUMIFS(Swim!$C$13:$C$62,Swim!$A$13:$A$62,$A111)</f>
        <v>0</v>
      </c>
      <c r="G111" s="28">
        <f>SUMIFS(Cycle!$C$13:$C$62,Cycle!$A$13:$A$62,$A111)</f>
        <v>0</v>
      </c>
      <c r="H111" s="28">
        <f>SUMIFS(Tennis!$B$13:$B$62,Tennis!$A$13:$A$62,$A111)</f>
        <v>0</v>
      </c>
      <c r="I111" s="29">
        <f>SUMIFS(Sauna!$B$13:$B$62,Sauna!$A$13:$A$62,$A111)</f>
        <v>0</v>
      </c>
      <c r="J111" s="30">
        <f t="shared" si="2"/>
        <v>0</v>
      </c>
      <c r="K111" s="28">
        <f>ROUND(SUMIFS(Gym!$I$13:$I$62,Gym!$A$13:$A$62,$A111)+SUMIFS(Workout!$E$13:$E$62,Workout!$A$13:$A$62,$A111)+SUMIFS(Run!$F$13:$F$62,Run!$A$13:$A$62,$A111)+SUMIFS(Walk!$F$13:$F$62,Walk!$A$13:$A$62,$A111)+SUMIFS(Swim!$E$13:$E$62,Swim!$A$13:$A$62,$A111)+SUMIFS(Cycle!$E$13:$E$62,Cycle!$A$13:$A$62,$A111)+SUMIFS(Tennis!$D$13:$D$62,Tennis!$A$13:$A$62,$A111),0)</f>
        <v>0</v>
      </c>
    </row>
    <row r="112" spans="1:11" x14ac:dyDescent="0.35">
      <c r="A112" s="23">
        <v>46270</v>
      </c>
      <c r="B112" s="24">
        <f>SUMIFS(Gym!$H$13:$H$62,Gym!$A$13:$A$62,$A112)</f>
        <v>0</v>
      </c>
      <c r="C112" s="24">
        <f>SUMIFS(Workout!$D$13:$D$62,Workout!$A$13:$A$62,$A112)</f>
        <v>0</v>
      </c>
      <c r="D112" s="24">
        <f>SUMIFS(Run!$C$13:$C$62,Run!$A$13:$A$62,$A112)</f>
        <v>0</v>
      </c>
      <c r="E112" s="24">
        <f>SUMIFS(Walk!$C$13:$C$62,Walk!$A$13:$A$62,$A112)</f>
        <v>0</v>
      </c>
      <c r="F112" s="24">
        <f>SUMIFS(Swim!$C$13:$C$62,Swim!$A$13:$A$62,$A112)</f>
        <v>0</v>
      </c>
      <c r="G112" s="24">
        <f>SUMIFS(Cycle!$C$13:$C$62,Cycle!$A$13:$A$62,$A112)</f>
        <v>0</v>
      </c>
      <c r="H112" s="24">
        <f>SUMIFS(Tennis!$B$13:$B$62,Tennis!$A$13:$A$62,$A112)</f>
        <v>0</v>
      </c>
      <c r="I112" s="25">
        <f>SUMIFS(Sauna!$B$13:$B$62,Sauna!$A$13:$A$62,$A112)</f>
        <v>0</v>
      </c>
      <c r="J112" s="26">
        <f t="shared" si="2"/>
        <v>0</v>
      </c>
      <c r="K112" s="24">
        <f>ROUND(SUMIFS(Gym!$I$13:$I$62,Gym!$A$13:$A$62,$A112)+SUMIFS(Workout!$E$13:$E$62,Workout!$A$13:$A$62,$A112)+SUMIFS(Run!$F$13:$F$62,Run!$A$13:$A$62,$A112)+SUMIFS(Walk!$F$13:$F$62,Walk!$A$13:$A$62,$A112)+SUMIFS(Swim!$E$13:$E$62,Swim!$A$13:$A$62,$A112)+SUMIFS(Cycle!$E$13:$E$62,Cycle!$A$13:$A$62,$A112)+SUMIFS(Tennis!$D$13:$D$62,Tennis!$A$13:$A$62,$A112),0)</f>
        <v>0</v>
      </c>
    </row>
    <row r="113" spans="1:11" x14ac:dyDescent="0.35">
      <c r="A113" s="27">
        <v>46271</v>
      </c>
      <c r="B113" s="28">
        <f>SUMIFS(Gym!$H$13:$H$62,Gym!$A$13:$A$62,$A113)</f>
        <v>0</v>
      </c>
      <c r="C113" s="28">
        <f>SUMIFS(Workout!$D$13:$D$62,Workout!$A$13:$A$62,$A113)</f>
        <v>0</v>
      </c>
      <c r="D113" s="28">
        <f>SUMIFS(Run!$C$13:$C$62,Run!$A$13:$A$62,$A113)</f>
        <v>0</v>
      </c>
      <c r="E113" s="28">
        <f>SUMIFS(Walk!$C$13:$C$62,Walk!$A$13:$A$62,$A113)</f>
        <v>0</v>
      </c>
      <c r="F113" s="28">
        <f>SUMIFS(Swim!$C$13:$C$62,Swim!$A$13:$A$62,$A113)</f>
        <v>0</v>
      </c>
      <c r="G113" s="28">
        <f>SUMIFS(Cycle!$C$13:$C$62,Cycle!$A$13:$A$62,$A113)</f>
        <v>0</v>
      </c>
      <c r="H113" s="28">
        <f>SUMIFS(Tennis!$B$13:$B$62,Tennis!$A$13:$A$62,$A113)</f>
        <v>0</v>
      </c>
      <c r="I113" s="29">
        <f>SUMIFS(Sauna!$B$13:$B$62,Sauna!$A$13:$A$62,$A113)</f>
        <v>0</v>
      </c>
      <c r="J113" s="30">
        <f t="shared" si="2"/>
        <v>0</v>
      </c>
      <c r="K113" s="28">
        <f>ROUND(SUMIFS(Gym!$I$13:$I$62,Gym!$A$13:$A$62,$A113)+SUMIFS(Workout!$E$13:$E$62,Workout!$A$13:$A$62,$A113)+SUMIFS(Run!$F$13:$F$62,Run!$A$13:$A$62,$A113)+SUMIFS(Walk!$F$13:$F$62,Walk!$A$13:$A$62,$A113)+SUMIFS(Swim!$E$13:$E$62,Swim!$A$13:$A$62,$A113)+SUMIFS(Cycle!$E$13:$E$62,Cycle!$A$13:$A$62,$A113)+SUMIFS(Tennis!$D$13:$D$62,Tennis!$A$13:$A$62,$A113),0)</f>
        <v>0</v>
      </c>
    </row>
    <row r="114" spans="1:11" x14ac:dyDescent="0.35">
      <c r="A114" s="23">
        <v>46272</v>
      </c>
      <c r="B114" s="24">
        <f>SUMIFS(Gym!$H$13:$H$62,Gym!$A$13:$A$62,$A114)</f>
        <v>0</v>
      </c>
      <c r="C114" s="24">
        <f>SUMIFS(Workout!$D$13:$D$62,Workout!$A$13:$A$62,$A114)</f>
        <v>0</v>
      </c>
      <c r="D114" s="24">
        <f>SUMIFS(Run!$C$13:$C$62,Run!$A$13:$A$62,$A114)</f>
        <v>0</v>
      </c>
      <c r="E114" s="24">
        <f>SUMIFS(Walk!$C$13:$C$62,Walk!$A$13:$A$62,$A114)</f>
        <v>0</v>
      </c>
      <c r="F114" s="24">
        <f>SUMIFS(Swim!$C$13:$C$62,Swim!$A$13:$A$62,$A114)</f>
        <v>0</v>
      </c>
      <c r="G114" s="24">
        <f>SUMIFS(Cycle!$C$13:$C$62,Cycle!$A$13:$A$62,$A114)</f>
        <v>0</v>
      </c>
      <c r="H114" s="24">
        <f>SUMIFS(Tennis!$B$13:$B$62,Tennis!$A$13:$A$62,$A114)</f>
        <v>0</v>
      </c>
      <c r="I114" s="25">
        <f>SUMIFS(Sauna!$B$13:$B$62,Sauna!$A$13:$A$62,$A114)</f>
        <v>0</v>
      </c>
      <c r="J114" s="26">
        <f t="shared" si="2"/>
        <v>0</v>
      </c>
      <c r="K114" s="24">
        <f>ROUND(SUMIFS(Gym!$I$13:$I$62,Gym!$A$13:$A$62,$A114)+SUMIFS(Workout!$E$13:$E$62,Workout!$A$13:$A$62,$A114)+SUMIFS(Run!$F$13:$F$62,Run!$A$13:$A$62,$A114)+SUMIFS(Walk!$F$13:$F$62,Walk!$A$13:$A$62,$A114)+SUMIFS(Swim!$E$13:$E$62,Swim!$A$13:$A$62,$A114)+SUMIFS(Cycle!$E$13:$E$62,Cycle!$A$13:$A$62,$A114)+SUMIFS(Tennis!$D$13:$D$62,Tennis!$A$13:$A$62,$A114),0)</f>
        <v>0</v>
      </c>
    </row>
    <row r="115" spans="1:11" x14ac:dyDescent="0.35">
      <c r="A115" s="27">
        <v>46273</v>
      </c>
      <c r="B115" s="28">
        <f>SUMIFS(Gym!$H$13:$H$62,Gym!$A$13:$A$62,$A115)</f>
        <v>0</v>
      </c>
      <c r="C115" s="28">
        <f>SUMIFS(Workout!$D$13:$D$62,Workout!$A$13:$A$62,$A115)</f>
        <v>0</v>
      </c>
      <c r="D115" s="28">
        <f>SUMIFS(Run!$C$13:$C$62,Run!$A$13:$A$62,$A115)</f>
        <v>0</v>
      </c>
      <c r="E115" s="28">
        <f>SUMIFS(Walk!$C$13:$C$62,Walk!$A$13:$A$62,$A115)</f>
        <v>0</v>
      </c>
      <c r="F115" s="28">
        <f>SUMIFS(Swim!$C$13:$C$62,Swim!$A$13:$A$62,$A115)</f>
        <v>0</v>
      </c>
      <c r="G115" s="28">
        <f>SUMIFS(Cycle!$C$13:$C$62,Cycle!$A$13:$A$62,$A115)</f>
        <v>0</v>
      </c>
      <c r="H115" s="28">
        <f>SUMIFS(Tennis!$B$13:$B$62,Tennis!$A$13:$A$62,$A115)</f>
        <v>0</v>
      </c>
      <c r="I115" s="29">
        <f>SUMIFS(Sauna!$B$13:$B$62,Sauna!$A$13:$A$62,$A115)</f>
        <v>0</v>
      </c>
      <c r="J115" s="30">
        <f t="shared" si="2"/>
        <v>0</v>
      </c>
      <c r="K115" s="28">
        <f>ROUND(SUMIFS(Gym!$I$13:$I$62,Gym!$A$13:$A$62,$A115)+SUMIFS(Workout!$E$13:$E$62,Workout!$A$13:$A$62,$A115)+SUMIFS(Run!$F$13:$F$62,Run!$A$13:$A$62,$A115)+SUMIFS(Walk!$F$13:$F$62,Walk!$A$13:$A$62,$A115)+SUMIFS(Swim!$E$13:$E$62,Swim!$A$13:$A$62,$A115)+SUMIFS(Cycle!$E$13:$E$62,Cycle!$A$13:$A$62,$A115)+SUMIFS(Tennis!$D$13:$D$62,Tennis!$A$13:$A$62,$A115),0)</f>
        <v>0</v>
      </c>
    </row>
    <row r="116" spans="1:11" x14ac:dyDescent="0.35">
      <c r="A116" s="23">
        <v>46274</v>
      </c>
      <c r="B116" s="24">
        <f>SUMIFS(Gym!$H$13:$H$62,Gym!$A$13:$A$62,$A116)</f>
        <v>0</v>
      </c>
      <c r="C116" s="24">
        <f>SUMIFS(Workout!$D$13:$D$62,Workout!$A$13:$A$62,$A116)</f>
        <v>0</v>
      </c>
      <c r="D116" s="24">
        <f>SUMIFS(Run!$C$13:$C$62,Run!$A$13:$A$62,$A116)</f>
        <v>0</v>
      </c>
      <c r="E116" s="24">
        <f>SUMIFS(Walk!$C$13:$C$62,Walk!$A$13:$A$62,$A116)</f>
        <v>0</v>
      </c>
      <c r="F116" s="24">
        <f>SUMIFS(Swim!$C$13:$C$62,Swim!$A$13:$A$62,$A116)</f>
        <v>0</v>
      </c>
      <c r="G116" s="24">
        <f>SUMIFS(Cycle!$C$13:$C$62,Cycle!$A$13:$A$62,$A116)</f>
        <v>0</v>
      </c>
      <c r="H116" s="24">
        <f>SUMIFS(Tennis!$B$13:$B$62,Tennis!$A$13:$A$62,$A116)</f>
        <v>0</v>
      </c>
      <c r="I116" s="25">
        <f>SUMIFS(Sauna!$B$13:$B$62,Sauna!$A$13:$A$62,$A116)</f>
        <v>0</v>
      </c>
      <c r="J116" s="26">
        <f t="shared" si="2"/>
        <v>0</v>
      </c>
      <c r="K116" s="24">
        <f>ROUND(SUMIFS(Gym!$I$13:$I$62,Gym!$A$13:$A$62,$A116)+SUMIFS(Workout!$E$13:$E$62,Workout!$A$13:$A$62,$A116)+SUMIFS(Run!$F$13:$F$62,Run!$A$13:$A$62,$A116)+SUMIFS(Walk!$F$13:$F$62,Walk!$A$13:$A$62,$A116)+SUMIFS(Swim!$E$13:$E$62,Swim!$A$13:$A$62,$A116)+SUMIFS(Cycle!$E$13:$E$62,Cycle!$A$13:$A$62,$A116)+SUMIFS(Tennis!$D$13:$D$62,Tennis!$A$13:$A$62,$A116),0)</f>
        <v>0</v>
      </c>
    </row>
    <row r="117" spans="1:11" x14ac:dyDescent="0.35">
      <c r="A117" s="27">
        <v>46275</v>
      </c>
      <c r="B117" s="28">
        <f>SUMIFS(Gym!$H$13:$H$62,Gym!$A$13:$A$62,$A117)</f>
        <v>0</v>
      </c>
      <c r="C117" s="28">
        <f>SUMIFS(Workout!$D$13:$D$62,Workout!$A$13:$A$62,$A117)</f>
        <v>0</v>
      </c>
      <c r="D117" s="28">
        <f>SUMIFS(Run!$C$13:$C$62,Run!$A$13:$A$62,$A117)</f>
        <v>0</v>
      </c>
      <c r="E117" s="28">
        <f>SUMIFS(Walk!$C$13:$C$62,Walk!$A$13:$A$62,$A117)</f>
        <v>0</v>
      </c>
      <c r="F117" s="28">
        <f>SUMIFS(Swim!$C$13:$C$62,Swim!$A$13:$A$62,$A117)</f>
        <v>0</v>
      </c>
      <c r="G117" s="28">
        <f>SUMIFS(Cycle!$C$13:$C$62,Cycle!$A$13:$A$62,$A117)</f>
        <v>0</v>
      </c>
      <c r="H117" s="28">
        <f>SUMIFS(Tennis!$B$13:$B$62,Tennis!$A$13:$A$62,$A117)</f>
        <v>0</v>
      </c>
      <c r="I117" s="29">
        <f>SUMIFS(Sauna!$B$13:$B$62,Sauna!$A$13:$A$62,$A117)</f>
        <v>0</v>
      </c>
      <c r="J117" s="30">
        <f t="shared" si="2"/>
        <v>0</v>
      </c>
      <c r="K117" s="28">
        <f>ROUND(SUMIFS(Gym!$I$13:$I$62,Gym!$A$13:$A$62,$A117)+SUMIFS(Workout!$E$13:$E$62,Workout!$A$13:$A$62,$A117)+SUMIFS(Run!$F$13:$F$62,Run!$A$13:$A$62,$A117)+SUMIFS(Walk!$F$13:$F$62,Walk!$A$13:$A$62,$A117)+SUMIFS(Swim!$E$13:$E$62,Swim!$A$13:$A$62,$A117)+SUMIFS(Cycle!$E$13:$E$62,Cycle!$A$13:$A$62,$A117)+SUMIFS(Tennis!$D$13:$D$62,Tennis!$A$13:$A$62,$A117),0)</f>
        <v>0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2"/>
  <sheetViews>
    <sheetView zoomScaleNormal="100" workbookViewId="0">
      <pane ySplit="12" topLeftCell="A13" activePane="bottomLeft" state="frozen"/>
      <selection pane="bottomLeft" sqref="A1:K1"/>
    </sheetView>
  </sheetViews>
  <sheetFormatPr defaultColWidth="8.6328125" defaultRowHeight="14.5" x14ac:dyDescent="0.35"/>
  <cols>
    <col min="1" max="1" width="13" customWidth="1"/>
    <col min="2" max="10" width="11" customWidth="1"/>
    <col min="11" max="11" width="18" customWidth="1"/>
  </cols>
  <sheetData>
    <row r="1" spans="1:11" ht="30" customHeight="1" x14ac:dyDescent="0.35">
      <c r="A1" s="8" t="s">
        <v>31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35">
      <c r="A2" s="9" t="s">
        <v>32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1" x14ac:dyDescent="0.35">
      <c r="A4" s="11" t="s">
        <v>33</v>
      </c>
      <c r="D4" s="12" t="s">
        <v>34</v>
      </c>
      <c r="E4" s="13">
        <v>5.5</v>
      </c>
    </row>
    <row r="5" spans="1:11" x14ac:dyDescent="0.35">
      <c r="A5" s="12" t="s">
        <v>13</v>
      </c>
      <c r="B5" s="15">
        <f>COUNT(A13:A62)</f>
        <v>0</v>
      </c>
    </row>
    <row r="6" spans="1:11" x14ac:dyDescent="0.35">
      <c r="A6" s="12" t="s">
        <v>35</v>
      </c>
      <c r="B6" s="15">
        <f>SUM(H13:H62)</f>
        <v>0</v>
      </c>
    </row>
    <row r="7" spans="1:11" x14ac:dyDescent="0.35">
      <c r="A7" s="12" t="s">
        <v>36</v>
      </c>
      <c r="B7" s="31">
        <f>ROUND(SUM(I13:I62),0)</f>
        <v>0</v>
      </c>
    </row>
    <row r="8" spans="1:11" x14ac:dyDescent="0.35">
      <c r="C8" s="32" t="s">
        <v>37</v>
      </c>
      <c r="D8" s="32" t="s">
        <v>38</v>
      </c>
      <c r="E8" s="32" t="s">
        <v>39</v>
      </c>
      <c r="F8" s="32" t="s">
        <v>40</v>
      </c>
      <c r="G8" s="32" t="s">
        <v>41</v>
      </c>
    </row>
    <row r="9" spans="1:11" x14ac:dyDescent="0.35">
      <c r="B9" s="12" t="s">
        <v>42</v>
      </c>
      <c r="C9" s="33" t="str">
        <f>IF(COUNT(C13:C62)=0,"",MAX(C13:C62))</f>
        <v/>
      </c>
      <c r="D9" s="33" t="str">
        <f>IF(COUNT(D13:D62)=0,"",MAX(D13:D62))</f>
        <v/>
      </c>
      <c r="E9" s="33" t="str">
        <f>IF(COUNT(E13:E62)=0,"",MAX(E13:E62))</f>
        <v/>
      </c>
      <c r="F9" s="33" t="str">
        <f>IF(COUNT(F13:F62)=0,"",MAX(F13:F62))</f>
        <v/>
      </c>
      <c r="G9" s="33" t="str">
        <f>IF(COUNT(G13:G62)=0,"",MAX(G13:G62))</f>
        <v/>
      </c>
    </row>
    <row r="10" spans="1:11" x14ac:dyDescent="0.35">
      <c r="B10" s="12" t="s">
        <v>43</v>
      </c>
      <c r="C10" s="33" t="str">
        <f>IFERROR(LOOKUP(2,1/(C13:C62&lt;&gt;""),C13:C62),"")</f>
        <v/>
      </c>
      <c r="D10" s="33" t="str">
        <f>IFERROR(LOOKUP(2,1/(D13:D62&lt;&gt;""),D13:D62),"")</f>
        <v/>
      </c>
      <c r="E10" s="33" t="str">
        <f>IFERROR(LOOKUP(2,1/(E13:E62&lt;&gt;""),E13:E62),"")</f>
        <v/>
      </c>
      <c r="F10" s="33" t="str">
        <f>IFERROR(LOOKUP(2,1/(F13:F62&lt;&gt;""),F13:F62),"")</f>
        <v/>
      </c>
      <c r="G10" s="33" t="str">
        <f>IFERROR(LOOKUP(2,1/(G13:G62&lt;&gt;""),G13:G62),"")</f>
        <v/>
      </c>
    </row>
    <row r="12" spans="1:11" ht="30" customHeight="1" x14ac:dyDescent="0.35">
      <c r="A12" s="34" t="s">
        <v>27</v>
      </c>
      <c r="B12" s="34" t="s">
        <v>44</v>
      </c>
      <c r="C12" s="34" t="s">
        <v>45</v>
      </c>
      <c r="D12" s="34" t="s">
        <v>46</v>
      </c>
      <c r="E12" s="34" t="s">
        <v>47</v>
      </c>
      <c r="F12" s="34" t="s">
        <v>48</v>
      </c>
      <c r="G12" s="34" t="s">
        <v>49</v>
      </c>
      <c r="H12" s="34" t="s">
        <v>50</v>
      </c>
      <c r="I12" s="34" t="s">
        <v>51</v>
      </c>
      <c r="J12" s="34" t="s">
        <v>52</v>
      </c>
      <c r="K12" s="34" t="s">
        <v>53</v>
      </c>
    </row>
    <row r="13" spans="1:11" x14ac:dyDescent="0.35">
      <c r="A13" s="23"/>
      <c r="B13" s="17"/>
      <c r="C13" s="35"/>
      <c r="D13" s="35"/>
      <c r="E13" s="35"/>
      <c r="F13" s="35"/>
      <c r="G13" s="35"/>
      <c r="H13" s="36"/>
      <c r="I13" s="36" t="str">
        <f>IF($H13="","",$E$4*3.5*'Daily Analysis'!$B$4/200*$H13)</f>
        <v/>
      </c>
      <c r="J13" s="36"/>
      <c r="K13" s="17"/>
    </row>
    <row r="14" spans="1:11" x14ac:dyDescent="0.35">
      <c r="A14" s="37"/>
      <c r="B14" s="38"/>
      <c r="C14" s="39"/>
      <c r="D14" s="39"/>
      <c r="E14" s="39"/>
      <c r="F14" s="39"/>
      <c r="G14" s="39"/>
      <c r="H14" s="40"/>
      <c r="I14" s="40" t="str">
        <f>IF($H14="","",$E$4*3.5*'Daily Analysis'!$B$4/200*$H14)</f>
        <v/>
      </c>
      <c r="J14" s="40"/>
      <c r="K14" s="38"/>
    </row>
    <row r="15" spans="1:11" x14ac:dyDescent="0.35">
      <c r="A15" s="23"/>
      <c r="B15" s="17"/>
      <c r="C15" s="35"/>
      <c r="D15" s="35"/>
      <c r="E15" s="35"/>
      <c r="F15" s="35"/>
      <c r="G15" s="35"/>
      <c r="H15" s="36"/>
      <c r="I15" s="36" t="str">
        <f>IF($H15="","",$E$4*3.5*'Daily Analysis'!$B$4/200*$H15)</f>
        <v/>
      </c>
      <c r="J15" s="36"/>
      <c r="K15" s="17"/>
    </row>
    <row r="16" spans="1:11" x14ac:dyDescent="0.35">
      <c r="A16" s="37"/>
      <c r="B16" s="38"/>
      <c r="C16" s="39"/>
      <c r="D16" s="39"/>
      <c r="E16" s="39"/>
      <c r="F16" s="39"/>
      <c r="G16" s="39"/>
      <c r="H16" s="40"/>
      <c r="I16" s="40" t="str">
        <f>IF($H16="","",$E$4*3.5*'Daily Analysis'!$B$4/200*$H16)</f>
        <v/>
      </c>
      <c r="J16" s="40"/>
      <c r="K16" s="38"/>
    </row>
    <row r="17" spans="1:11" x14ac:dyDescent="0.35">
      <c r="A17" s="23"/>
      <c r="B17" s="17"/>
      <c r="C17" s="35"/>
      <c r="D17" s="35"/>
      <c r="E17" s="35"/>
      <c r="F17" s="35"/>
      <c r="G17" s="35"/>
      <c r="H17" s="36"/>
      <c r="I17" s="36" t="str">
        <f>IF($H17="","",$E$4*3.5*'Daily Analysis'!$B$4/200*$H17)</f>
        <v/>
      </c>
      <c r="J17" s="36"/>
      <c r="K17" s="17"/>
    </row>
    <row r="18" spans="1:11" x14ac:dyDescent="0.35">
      <c r="A18" s="37"/>
      <c r="B18" s="38"/>
      <c r="C18" s="39"/>
      <c r="D18" s="39"/>
      <c r="E18" s="39"/>
      <c r="F18" s="39"/>
      <c r="G18" s="39"/>
      <c r="H18" s="40"/>
      <c r="I18" s="40" t="str">
        <f>IF($H18="","",$E$4*3.5*'Daily Analysis'!$B$4/200*$H18)</f>
        <v/>
      </c>
      <c r="J18" s="40"/>
      <c r="K18" s="38"/>
    </row>
    <row r="19" spans="1:11" x14ac:dyDescent="0.35">
      <c r="A19" s="23"/>
      <c r="B19" s="17"/>
      <c r="C19" s="35"/>
      <c r="D19" s="35"/>
      <c r="E19" s="35"/>
      <c r="F19" s="35"/>
      <c r="G19" s="35"/>
      <c r="H19" s="36"/>
      <c r="I19" s="36" t="str">
        <f>IF($H19="","",$E$4*3.5*'Daily Analysis'!$B$4/200*$H19)</f>
        <v/>
      </c>
      <c r="J19" s="36"/>
      <c r="K19" s="17"/>
    </row>
    <row r="20" spans="1:11" x14ac:dyDescent="0.35">
      <c r="A20" s="37"/>
      <c r="B20" s="38"/>
      <c r="C20" s="39"/>
      <c r="D20" s="39"/>
      <c r="E20" s="39"/>
      <c r="F20" s="39"/>
      <c r="G20" s="39"/>
      <c r="H20" s="40"/>
      <c r="I20" s="40" t="str">
        <f>IF($H20="","",$E$4*3.5*'Daily Analysis'!$B$4/200*$H20)</f>
        <v/>
      </c>
      <c r="J20" s="40"/>
      <c r="K20" s="38"/>
    </row>
    <row r="21" spans="1:11" x14ac:dyDescent="0.35">
      <c r="A21" s="23"/>
      <c r="B21" s="17"/>
      <c r="C21" s="35"/>
      <c r="D21" s="35"/>
      <c r="E21" s="35"/>
      <c r="F21" s="35"/>
      <c r="G21" s="35"/>
      <c r="H21" s="36"/>
      <c r="I21" s="36" t="str">
        <f>IF($H21="","",$E$4*3.5*'Daily Analysis'!$B$4/200*$H21)</f>
        <v/>
      </c>
      <c r="J21" s="36"/>
      <c r="K21" s="17"/>
    </row>
    <row r="22" spans="1:11" x14ac:dyDescent="0.35">
      <c r="A22" s="37"/>
      <c r="B22" s="38"/>
      <c r="C22" s="39"/>
      <c r="D22" s="39"/>
      <c r="E22" s="39"/>
      <c r="F22" s="39"/>
      <c r="G22" s="39"/>
      <c r="H22" s="40"/>
      <c r="I22" s="40" t="str">
        <f>IF($H22="","",$E$4*3.5*'Daily Analysis'!$B$4/200*$H22)</f>
        <v/>
      </c>
      <c r="J22" s="40"/>
      <c r="K22" s="38"/>
    </row>
    <row r="23" spans="1:11" x14ac:dyDescent="0.35">
      <c r="A23" s="23"/>
      <c r="B23" s="17"/>
      <c r="C23" s="35"/>
      <c r="D23" s="35"/>
      <c r="E23" s="35"/>
      <c r="F23" s="35"/>
      <c r="G23" s="35"/>
      <c r="H23" s="36"/>
      <c r="I23" s="36" t="str">
        <f>IF($H23="","",$E$4*3.5*'Daily Analysis'!$B$4/200*$H23)</f>
        <v/>
      </c>
      <c r="J23" s="36"/>
      <c r="K23" s="17"/>
    </row>
    <row r="24" spans="1:11" x14ac:dyDescent="0.35">
      <c r="A24" s="37"/>
      <c r="B24" s="38"/>
      <c r="C24" s="39"/>
      <c r="D24" s="39"/>
      <c r="E24" s="39"/>
      <c r="F24" s="39"/>
      <c r="G24" s="39"/>
      <c r="H24" s="40"/>
      <c r="I24" s="40" t="str">
        <f>IF($H24="","",$E$4*3.5*'Daily Analysis'!$B$4/200*$H24)</f>
        <v/>
      </c>
      <c r="J24" s="40"/>
      <c r="K24" s="38"/>
    </row>
    <row r="25" spans="1:11" x14ac:dyDescent="0.35">
      <c r="A25" s="23"/>
      <c r="B25" s="17"/>
      <c r="C25" s="35"/>
      <c r="D25" s="35"/>
      <c r="E25" s="35"/>
      <c r="F25" s="35"/>
      <c r="G25" s="35"/>
      <c r="H25" s="36"/>
      <c r="I25" s="36" t="str">
        <f>IF($H25="","",$E$4*3.5*'Daily Analysis'!$B$4/200*$H25)</f>
        <v/>
      </c>
      <c r="J25" s="36"/>
      <c r="K25" s="17"/>
    </row>
    <row r="26" spans="1:11" x14ac:dyDescent="0.35">
      <c r="A26" s="37"/>
      <c r="B26" s="38"/>
      <c r="C26" s="39"/>
      <c r="D26" s="39"/>
      <c r="E26" s="39"/>
      <c r="F26" s="39"/>
      <c r="G26" s="39"/>
      <c r="H26" s="40"/>
      <c r="I26" s="40" t="str">
        <f>IF($H26="","",$E$4*3.5*'Daily Analysis'!$B$4/200*$H26)</f>
        <v/>
      </c>
      <c r="J26" s="40"/>
      <c r="K26" s="38"/>
    </row>
    <row r="27" spans="1:11" x14ac:dyDescent="0.35">
      <c r="A27" s="23"/>
      <c r="B27" s="17"/>
      <c r="C27" s="35"/>
      <c r="D27" s="35"/>
      <c r="E27" s="35"/>
      <c r="F27" s="35"/>
      <c r="G27" s="35"/>
      <c r="H27" s="36"/>
      <c r="I27" s="36" t="str">
        <f>IF($H27="","",$E$4*3.5*'Daily Analysis'!$B$4/200*$H27)</f>
        <v/>
      </c>
      <c r="J27" s="36"/>
      <c r="K27" s="17"/>
    </row>
    <row r="28" spans="1:11" x14ac:dyDescent="0.35">
      <c r="A28" s="37"/>
      <c r="B28" s="38"/>
      <c r="C28" s="39"/>
      <c r="D28" s="39"/>
      <c r="E28" s="39"/>
      <c r="F28" s="39"/>
      <c r="G28" s="39"/>
      <c r="H28" s="40"/>
      <c r="I28" s="40" t="str">
        <f>IF($H28="","",$E$4*3.5*'Daily Analysis'!$B$4/200*$H28)</f>
        <v/>
      </c>
      <c r="J28" s="40"/>
      <c r="K28" s="38"/>
    </row>
    <row r="29" spans="1:11" x14ac:dyDescent="0.35">
      <c r="A29" s="23"/>
      <c r="B29" s="17"/>
      <c r="C29" s="35"/>
      <c r="D29" s="35"/>
      <c r="E29" s="35"/>
      <c r="F29" s="35"/>
      <c r="G29" s="35"/>
      <c r="H29" s="36"/>
      <c r="I29" s="36" t="str">
        <f>IF($H29="","",$E$4*3.5*'Daily Analysis'!$B$4/200*$H29)</f>
        <v/>
      </c>
      <c r="J29" s="36"/>
      <c r="K29" s="17"/>
    </row>
    <row r="30" spans="1:11" x14ac:dyDescent="0.35">
      <c r="A30" s="37"/>
      <c r="B30" s="38"/>
      <c r="C30" s="39"/>
      <c r="D30" s="39"/>
      <c r="E30" s="39"/>
      <c r="F30" s="39"/>
      <c r="G30" s="39"/>
      <c r="H30" s="40"/>
      <c r="I30" s="40" t="str">
        <f>IF($H30="","",$E$4*3.5*'Daily Analysis'!$B$4/200*$H30)</f>
        <v/>
      </c>
      <c r="J30" s="40"/>
      <c r="K30" s="38"/>
    </row>
    <row r="31" spans="1:11" x14ac:dyDescent="0.35">
      <c r="A31" s="23"/>
      <c r="B31" s="17"/>
      <c r="C31" s="35"/>
      <c r="D31" s="35"/>
      <c r="E31" s="35"/>
      <c r="F31" s="35"/>
      <c r="G31" s="35"/>
      <c r="H31" s="36"/>
      <c r="I31" s="36" t="str">
        <f>IF($H31="","",$E$4*3.5*'Daily Analysis'!$B$4/200*$H31)</f>
        <v/>
      </c>
      <c r="J31" s="36"/>
      <c r="K31" s="17"/>
    </row>
    <row r="32" spans="1:11" x14ac:dyDescent="0.35">
      <c r="A32" s="37"/>
      <c r="B32" s="38"/>
      <c r="C32" s="39"/>
      <c r="D32" s="39"/>
      <c r="E32" s="39"/>
      <c r="F32" s="39"/>
      <c r="G32" s="39"/>
      <c r="H32" s="40"/>
      <c r="I32" s="40" t="str">
        <f>IF($H32="","",$E$4*3.5*'Daily Analysis'!$B$4/200*$H32)</f>
        <v/>
      </c>
      <c r="J32" s="40"/>
      <c r="K32" s="38"/>
    </row>
    <row r="33" spans="1:11" x14ac:dyDescent="0.35">
      <c r="A33" s="23"/>
      <c r="B33" s="17"/>
      <c r="C33" s="35"/>
      <c r="D33" s="35"/>
      <c r="E33" s="35"/>
      <c r="F33" s="35"/>
      <c r="G33" s="35"/>
      <c r="H33" s="36"/>
      <c r="I33" s="36" t="str">
        <f>IF($H33="","",$E$4*3.5*'Daily Analysis'!$B$4/200*$H33)</f>
        <v/>
      </c>
      <c r="J33" s="36"/>
      <c r="K33" s="17"/>
    </row>
    <row r="34" spans="1:11" x14ac:dyDescent="0.35">
      <c r="A34" s="37"/>
      <c r="B34" s="38"/>
      <c r="C34" s="39"/>
      <c r="D34" s="39"/>
      <c r="E34" s="39"/>
      <c r="F34" s="39"/>
      <c r="G34" s="39"/>
      <c r="H34" s="40"/>
      <c r="I34" s="40" t="str">
        <f>IF($H34="","",$E$4*3.5*'Daily Analysis'!$B$4/200*$H34)</f>
        <v/>
      </c>
      <c r="J34" s="40"/>
      <c r="K34" s="38"/>
    </row>
    <row r="35" spans="1:11" x14ac:dyDescent="0.35">
      <c r="A35" s="23"/>
      <c r="B35" s="17"/>
      <c r="C35" s="35"/>
      <c r="D35" s="35"/>
      <c r="E35" s="35"/>
      <c r="F35" s="35"/>
      <c r="G35" s="35"/>
      <c r="H35" s="36"/>
      <c r="I35" s="36" t="str">
        <f>IF($H35="","",$E$4*3.5*'Daily Analysis'!$B$4/200*$H35)</f>
        <v/>
      </c>
      <c r="J35" s="36"/>
      <c r="K35" s="17"/>
    </row>
    <row r="36" spans="1:11" x14ac:dyDescent="0.35">
      <c r="A36" s="37"/>
      <c r="B36" s="38"/>
      <c r="C36" s="39"/>
      <c r="D36" s="39"/>
      <c r="E36" s="39"/>
      <c r="F36" s="39"/>
      <c r="G36" s="39"/>
      <c r="H36" s="40"/>
      <c r="I36" s="40" t="str">
        <f>IF($H36="","",$E$4*3.5*'Daily Analysis'!$B$4/200*$H36)</f>
        <v/>
      </c>
      <c r="J36" s="40"/>
      <c r="K36" s="38"/>
    </row>
    <row r="37" spans="1:11" x14ac:dyDescent="0.35">
      <c r="A37" s="23"/>
      <c r="B37" s="17"/>
      <c r="C37" s="35"/>
      <c r="D37" s="35"/>
      <c r="E37" s="35"/>
      <c r="F37" s="35"/>
      <c r="G37" s="35"/>
      <c r="H37" s="36"/>
      <c r="I37" s="36" t="str">
        <f>IF($H37="","",$E$4*3.5*'Daily Analysis'!$B$4/200*$H37)</f>
        <v/>
      </c>
      <c r="J37" s="36"/>
      <c r="K37" s="17"/>
    </row>
    <row r="38" spans="1:11" x14ac:dyDescent="0.35">
      <c r="A38" s="37"/>
      <c r="B38" s="38"/>
      <c r="C38" s="39"/>
      <c r="D38" s="39"/>
      <c r="E38" s="39"/>
      <c r="F38" s="39"/>
      <c r="G38" s="39"/>
      <c r="H38" s="40"/>
      <c r="I38" s="40" t="str">
        <f>IF($H38="","",$E$4*3.5*'Daily Analysis'!$B$4/200*$H38)</f>
        <v/>
      </c>
      <c r="J38" s="40"/>
      <c r="K38" s="38"/>
    </row>
    <row r="39" spans="1:11" x14ac:dyDescent="0.35">
      <c r="A39" s="23"/>
      <c r="B39" s="17"/>
      <c r="C39" s="35"/>
      <c r="D39" s="35"/>
      <c r="E39" s="35"/>
      <c r="F39" s="35"/>
      <c r="G39" s="35"/>
      <c r="H39" s="36"/>
      <c r="I39" s="36" t="str">
        <f>IF($H39="","",$E$4*3.5*'Daily Analysis'!$B$4/200*$H39)</f>
        <v/>
      </c>
      <c r="J39" s="36"/>
      <c r="K39" s="17"/>
    </row>
    <row r="40" spans="1:11" x14ac:dyDescent="0.35">
      <c r="A40" s="37"/>
      <c r="B40" s="38"/>
      <c r="C40" s="39"/>
      <c r="D40" s="39"/>
      <c r="E40" s="39"/>
      <c r="F40" s="39"/>
      <c r="G40" s="39"/>
      <c r="H40" s="40"/>
      <c r="I40" s="40" t="str">
        <f>IF($H40="","",$E$4*3.5*'Daily Analysis'!$B$4/200*$H40)</f>
        <v/>
      </c>
      <c r="J40" s="40"/>
      <c r="K40" s="38"/>
    </row>
    <row r="41" spans="1:11" x14ac:dyDescent="0.35">
      <c r="A41" s="23"/>
      <c r="B41" s="17"/>
      <c r="C41" s="35"/>
      <c r="D41" s="35"/>
      <c r="E41" s="35"/>
      <c r="F41" s="35"/>
      <c r="G41" s="35"/>
      <c r="H41" s="36"/>
      <c r="I41" s="36" t="str">
        <f>IF($H41="","",$E$4*3.5*'Daily Analysis'!$B$4/200*$H41)</f>
        <v/>
      </c>
      <c r="J41" s="36"/>
      <c r="K41" s="17"/>
    </row>
    <row r="42" spans="1:11" x14ac:dyDescent="0.35">
      <c r="A42" s="37"/>
      <c r="B42" s="38"/>
      <c r="C42" s="39"/>
      <c r="D42" s="39"/>
      <c r="E42" s="39"/>
      <c r="F42" s="39"/>
      <c r="G42" s="39"/>
      <c r="H42" s="40"/>
      <c r="I42" s="40" t="str">
        <f>IF($H42="","",$E$4*3.5*'Daily Analysis'!$B$4/200*$H42)</f>
        <v/>
      </c>
      <c r="J42" s="40"/>
      <c r="K42" s="38"/>
    </row>
    <row r="43" spans="1:11" x14ac:dyDescent="0.35">
      <c r="A43" s="23"/>
      <c r="B43" s="17"/>
      <c r="C43" s="35"/>
      <c r="D43" s="35"/>
      <c r="E43" s="35"/>
      <c r="F43" s="35"/>
      <c r="G43" s="35"/>
      <c r="H43" s="36"/>
      <c r="I43" s="36" t="str">
        <f>IF($H43="","",$E$4*3.5*'Daily Analysis'!$B$4/200*$H43)</f>
        <v/>
      </c>
      <c r="J43" s="36"/>
      <c r="K43" s="17"/>
    </row>
    <row r="44" spans="1:11" x14ac:dyDescent="0.35">
      <c r="A44" s="37"/>
      <c r="B44" s="38"/>
      <c r="C44" s="39"/>
      <c r="D44" s="39"/>
      <c r="E44" s="39"/>
      <c r="F44" s="39"/>
      <c r="G44" s="39"/>
      <c r="H44" s="40"/>
      <c r="I44" s="40" t="str">
        <f>IF($H44="","",$E$4*3.5*'Daily Analysis'!$B$4/200*$H44)</f>
        <v/>
      </c>
      <c r="J44" s="40"/>
      <c r="K44" s="38"/>
    </row>
    <row r="45" spans="1:11" x14ac:dyDescent="0.35">
      <c r="A45" s="23"/>
      <c r="B45" s="17"/>
      <c r="C45" s="35"/>
      <c r="D45" s="35"/>
      <c r="E45" s="35"/>
      <c r="F45" s="35"/>
      <c r="G45" s="35"/>
      <c r="H45" s="36"/>
      <c r="I45" s="36" t="str">
        <f>IF($H45="","",$E$4*3.5*'Daily Analysis'!$B$4/200*$H45)</f>
        <v/>
      </c>
      <c r="J45" s="36"/>
      <c r="K45" s="17"/>
    </row>
    <row r="46" spans="1:11" x14ac:dyDescent="0.35">
      <c r="A46" s="37"/>
      <c r="B46" s="38"/>
      <c r="C46" s="39"/>
      <c r="D46" s="39"/>
      <c r="E46" s="39"/>
      <c r="F46" s="39"/>
      <c r="G46" s="39"/>
      <c r="H46" s="40"/>
      <c r="I46" s="40" t="str">
        <f>IF($H46="","",$E$4*3.5*'Daily Analysis'!$B$4/200*$H46)</f>
        <v/>
      </c>
      <c r="J46" s="40"/>
      <c r="K46" s="38"/>
    </row>
    <row r="47" spans="1:11" x14ac:dyDescent="0.35">
      <c r="A47" s="23"/>
      <c r="B47" s="17"/>
      <c r="C47" s="35"/>
      <c r="D47" s="35"/>
      <c r="E47" s="35"/>
      <c r="F47" s="35"/>
      <c r="G47" s="35"/>
      <c r="H47" s="36"/>
      <c r="I47" s="36" t="str">
        <f>IF($H47="","",$E$4*3.5*'Daily Analysis'!$B$4/200*$H47)</f>
        <v/>
      </c>
      <c r="J47" s="36"/>
      <c r="K47" s="17"/>
    </row>
    <row r="48" spans="1:11" x14ac:dyDescent="0.35">
      <c r="A48" s="37"/>
      <c r="B48" s="38"/>
      <c r="C48" s="39"/>
      <c r="D48" s="39"/>
      <c r="E48" s="39"/>
      <c r="F48" s="39"/>
      <c r="G48" s="39"/>
      <c r="H48" s="40"/>
      <c r="I48" s="40" t="str">
        <f>IF($H48="","",$E$4*3.5*'Daily Analysis'!$B$4/200*$H48)</f>
        <v/>
      </c>
      <c r="J48" s="40"/>
      <c r="K48" s="38"/>
    </row>
    <row r="49" spans="1:11" x14ac:dyDescent="0.35">
      <c r="A49" s="23"/>
      <c r="B49" s="17"/>
      <c r="C49" s="35"/>
      <c r="D49" s="35"/>
      <c r="E49" s="35"/>
      <c r="F49" s="35"/>
      <c r="G49" s="35"/>
      <c r="H49" s="36"/>
      <c r="I49" s="36" t="str">
        <f>IF($H49="","",$E$4*3.5*'Daily Analysis'!$B$4/200*$H49)</f>
        <v/>
      </c>
      <c r="J49" s="36"/>
      <c r="K49" s="17"/>
    </row>
    <row r="50" spans="1:11" x14ac:dyDescent="0.35">
      <c r="A50" s="37"/>
      <c r="B50" s="38"/>
      <c r="C50" s="39"/>
      <c r="D50" s="39"/>
      <c r="E50" s="39"/>
      <c r="F50" s="39"/>
      <c r="G50" s="39"/>
      <c r="H50" s="40"/>
      <c r="I50" s="40" t="str">
        <f>IF($H50="","",$E$4*3.5*'Daily Analysis'!$B$4/200*$H50)</f>
        <v/>
      </c>
      <c r="J50" s="40"/>
      <c r="K50" s="38"/>
    </row>
    <row r="51" spans="1:11" x14ac:dyDescent="0.35">
      <c r="A51" s="23"/>
      <c r="B51" s="17"/>
      <c r="C51" s="35"/>
      <c r="D51" s="35"/>
      <c r="E51" s="35"/>
      <c r="F51" s="35"/>
      <c r="G51" s="35"/>
      <c r="H51" s="36"/>
      <c r="I51" s="36" t="str">
        <f>IF($H51="","",$E$4*3.5*'Daily Analysis'!$B$4/200*$H51)</f>
        <v/>
      </c>
      <c r="J51" s="36"/>
      <c r="K51" s="17"/>
    </row>
    <row r="52" spans="1:11" x14ac:dyDescent="0.35">
      <c r="A52" s="37"/>
      <c r="B52" s="38"/>
      <c r="C52" s="39"/>
      <c r="D52" s="39"/>
      <c r="E52" s="39"/>
      <c r="F52" s="39"/>
      <c r="G52" s="39"/>
      <c r="H52" s="40"/>
      <c r="I52" s="40" t="str">
        <f>IF($H52="","",$E$4*3.5*'Daily Analysis'!$B$4/200*$H52)</f>
        <v/>
      </c>
      <c r="J52" s="40"/>
      <c r="K52" s="38"/>
    </row>
    <row r="53" spans="1:11" x14ac:dyDescent="0.35">
      <c r="A53" s="23"/>
      <c r="B53" s="17"/>
      <c r="C53" s="35"/>
      <c r="D53" s="35"/>
      <c r="E53" s="35"/>
      <c r="F53" s="35"/>
      <c r="G53" s="35"/>
      <c r="H53" s="36"/>
      <c r="I53" s="36" t="str">
        <f>IF($H53="","",$E$4*3.5*'Daily Analysis'!$B$4/200*$H53)</f>
        <v/>
      </c>
      <c r="J53" s="36"/>
      <c r="K53" s="17"/>
    </row>
    <row r="54" spans="1:11" x14ac:dyDescent="0.35">
      <c r="A54" s="37"/>
      <c r="B54" s="38"/>
      <c r="C54" s="39"/>
      <c r="D54" s="39"/>
      <c r="E54" s="39"/>
      <c r="F54" s="39"/>
      <c r="G54" s="39"/>
      <c r="H54" s="40"/>
      <c r="I54" s="40" t="str">
        <f>IF($H54="","",$E$4*3.5*'Daily Analysis'!$B$4/200*$H54)</f>
        <v/>
      </c>
      <c r="J54" s="40"/>
      <c r="K54" s="38"/>
    </row>
    <row r="55" spans="1:11" x14ac:dyDescent="0.35">
      <c r="A55" s="23"/>
      <c r="B55" s="17"/>
      <c r="C55" s="35"/>
      <c r="D55" s="35"/>
      <c r="E55" s="35"/>
      <c r="F55" s="35"/>
      <c r="G55" s="35"/>
      <c r="H55" s="36"/>
      <c r="I55" s="36" t="str">
        <f>IF($H55="","",$E$4*3.5*'Daily Analysis'!$B$4/200*$H55)</f>
        <v/>
      </c>
      <c r="J55" s="36"/>
      <c r="K55" s="17"/>
    </row>
    <row r="56" spans="1:11" x14ac:dyDescent="0.35">
      <c r="A56" s="37"/>
      <c r="B56" s="38"/>
      <c r="C56" s="39"/>
      <c r="D56" s="39"/>
      <c r="E56" s="39"/>
      <c r="F56" s="39"/>
      <c r="G56" s="39"/>
      <c r="H56" s="40"/>
      <c r="I56" s="40" t="str">
        <f>IF($H56="","",$E$4*3.5*'Daily Analysis'!$B$4/200*$H56)</f>
        <v/>
      </c>
      <c r="J56" s="40"/>
      <c r="K56" s="38"/>
    </row>
    <row r="57" spans="1:11" x14ac:dyDescent="0.35">
      <c r="A57" s="23"/>
      <c r="B57" s="17"/>
      <c r="C57" s="35"/>
      <c r="D57" s="35"/>
      <c r="E57" s="35"/>
      <c r="F57" s="35"/>
      <c r="G57" s="35"/>
      <c r="H57" s="36"/>
      <c r="I57" s="36" t="str">
        <f>IF($H57="","",$E$4*3.5*'Daily Analysis'!$B$4/200*$H57)</f>
        <v/>
      </c>
      <c r="J57" s="36"/>
      <c r="K57" s="17"/>
    </row>
    <row r="58" spans="1:11" x14ac:dyDescent="0.35">
      <c r="A58" s="37"/>
      <c r="B58" s="38"/>
      <c r="C58" s="39"/>
      <c r="D58" s="39"/>
      <c r="E58" s="39"/>
      <c r="F58" s="39"/>
      <c r="G58" s="39"/>
      <c r="H58" s="40"/>
      <c r="I58" s="40" t="str">
        <f>IF($H58="","",$E$4*3.5*'Daily Analysis'!$B$4/200*$H58)</f>
        <v/>
      </c>
      <c r="J58" s="40"/>
      <c r="K58" s="38"/>
    </row>
    <row r="59" spans="1:11" x14ac:dyDescent="0.35">
      <c r="A59" s="23"/>
      <c r="B59" s="17"/>
      <c r="C59" s="35"/>
      <c r="D59" s="35"/>
      <c r="E59" s="35"/>
      <c r="F59" s="35"/>
      <c r="G59" s="35"/>
      <c r="H59" s="36"/>
      <c r="I59" s="36" t="str">
        <f>IF($H59="","",$E$4*3.5*'Daily Analysis'!$B$4/200*$H59)</f>
        <v/>
      </c>
      <c r="J59" s="36"/>
      <c r="K59" s="17"/>
    </row>
    <row r="60" spans="1:11" x14ac:dyDescent="0.35">
      <c r="A60" s="37"/>
      <c r="B60" s="38"/>
      <c r="C60" s="39"/>
      <c r="D60" s="39"/>
      <c r="E60" s="39"/>
      <c r="F60" s="39"/>
      <c r="G60" s="39"/>
      <c r="H60" s="40"/>
      <c r="I60" s="40" t="str">
        <f>IF($H60="","",$E$4*3.5*'Daily Analysis'!$B$4/200*$H60)</f>
        <v/>
      </c>
      <c r="J60" s="40"/>
      <c r="K60" s="38"/>
    </row>
    <row r="61" spans="1:11" x14ac:dyDescent="0.35">
      <c r="A61" s="23"/>
      <c r="B61" s="17"/>
      <c r="C61" s="35"/>
      <c r="D61" s="35"/>
      <c r="E61" s="35"/>
      <c r="F61" s="35"/>
      <c r="G61" s="35"/>
      <c r="H61" s="36"/>
      <c r="I61" s="36" t="str">
        <f>IF($H61="","",$E$4*3.5*'Daily Analysis'!$B$4/200*$H61)</f>
        <v/>
      </c>
      <c r="J61" s="36"/>
      <c r="K61" s="17"/>
    </row>
    <row r="62" spans="1:11" x14ac:dyDescent="0.35">
      <c r="A62" s="37"/>
      <c r="B62" s="38"/>
      <c r="C62" s="39"/>
      <c r="D62" s="39"/>
      <c r="E62" s="39"/>
      <c r="F62" s="39"/>
      <c r="G62" s="39"/>
      <c r="H62" s="40"/>
      <c r="I62" s="40" t="str">
        <f>IF($H62="","",$E$4*3.5*'Daily Analysis'!$B$4/200*$H62)</f>
        <v/>
      </c>
      <c r="J62" s="40"/>
      <c r="K62" s="38"/>
    </row>
  </sheetData>
  <mergeCells count="2">
    <mergeCell ref="A1:K1"/>
    <mergeCell ref="A2:K2"/>
  </mergeCells>
  <dataValidations count="2">
    <dataValidation type="whole" allowBlank="1" sqref="J13:J62" xr:uid="{00000000-0002-0000-0100-000000000000}">
      <formula1>1</formula1>
      <formula2>10</formula2>
    </dataValidation>
    <dataValidation type="list" allowBlank="1" sqref="B13:B62" xr:uid="{00000000-0002-0000-0100-000001000000}">
      <formula1>"Upper,Lower,Full Body,Push,Pull,Legs"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2"/>
  <sheetViews>
    <sheetView zoomScaleNormal="100" workbookViewId="0">
      <pane ySplit="12" topLeftCell="A13" activePane="bottomLeft" state="frozen"/>
      <selection pane="bottomLeft" sqref="A1:G1"/>
    </sheetView>
  </sheetViews>
  <sheetFormatPr defaultColWidth="8.6328125" defaultRowHeight="14.5" x14ac:dyDescent="0.35"/>
  <cols>
    <col min="1" max="1" width="13" customWidth="1"/>
    <col min="2" max="6" width="11" customWidth="1"/>
    <col min="7" max="7" width="18" customWidth="1"/>
  </cols>
  <sheetData>
    <row r="1" spans="1:7" ht="30" customHeight="1" x14ac:dyDescent="0.35">
      <c r="A1" s="7" t="s">
        <v>54</v>
      </c>
      <c r="B1" s="7"/>
      <c r="C1" s="7"/>
      <c r="D1" s="7"/>
      <c r="E1" s="7"/>
      <c r="F1" s="7"/>
      <c r="G1" s="7"/>
    </row>
    <row r="2" spans="1:7" x14ac:dyDescent="0.35">
      <c r="A2" s="9" t="s">
        <v>32</v>
      </c>
      <c r="B2" s="9"/>
      <c r="C2" s="9"/>
      <c r="D2" s="9"/>
      <c r="E2" s="9"/>
      <c r="F2" s="9"/>
      <c r="G2" s="9"/>
    </row>
    <row r="4" spans="1:7" x14ac:dyDescent="0.35">
      <c r="A4" s="11" t="s">
        <v>33</v>
      </c>
      <c r="D4" s="12" t="s">
        <v>55</v>
      </c>
    </row>
    <row r="5" spans="1:7" x14ac:dyDescent="0.35">
      <c r="A5" s="12" t="s">
        <v>13</v>
      </c>
      <c r="B5" s="15">
        <f>COUNT(A13:A62)</f>
        <v>0</v>
      </c>
    </row>
    <row r="6" spans="1:7" x14ac:dyDescent="0.35">
      <c r="A6" s="12" t="s">
        <v>35</v>
      </c>
      <c r="B6" s="15">
        <f>SUM(D13:D62)</f>
        <v>0</v>
      </c>
    </row>
    <row r="7" spans="1:7" x14ac:dyDescent="0.35">
      <c r="A7" s="12" t="s">
        <v>36</v>
      </c>
      <c r="B7" s="31">
        <f>ROUND(SUM(E13:E62),0)</f>
        <v>0</v>
      </c>
    </row>
    <row r="12" spans="1:7" ht="30" customHeight="1" x14ac:dyDescent="0.35">
      <c r="A12" s="41" t="s">
        <v>27</v>
      </c>
      <c r="B12" s="41" t="s">
        <v>56</v>
      </c>
      <c r="C12" s="41" t="s">
        <v>57</v>
      </c>
      <c r="D12" s="41" t="s">
        <v>50</v>
      </c>
      <c r="E12" s="41" t="s">
        <v>51</v>
      </c>
      <c r="F12" s="41" t="s">
        <v>52</v>
      </c>
      <c r="G12" s="41" t="s">
        <v>53</v>
      </c>
    </row>
    <row r="13" spans="1:7" x14ac:dyDescent="0.35">
      <c r="A13" s="23"/>
      <c r="B13" s="17"/>
      <c r="C13" s="35"/>
      <c r="D13" s="36"/>
      <c r="E13" s="36" t="str">
        <f>IF(OR($A13="",$D13="",$C13=""),"",$C13*3.5*'Daily Analysis'!$B$4/200*$D13)</f>
        <v/>
      </c>
      <c r="F13" s="36"/>
      <c r="G13" s="17"/>
    </row>
    <row r="14" spans="1:7" x14ac:dyDescent="0.35">
      <c r="A14" s="37"/>
      <c r="B14" s="38"/>
      <c r="C14" s="39"/>
      <c r="D14" s="40"/>
      <c r="E14" s="40" t="str">
        <f>IF(OR($A14="",$D14="",$C14=""),"",$C14*3.5*'Daily Analysis'!$B$4/200*$D14)</f>
        <v/>
      </c>
      <c r="F14" s="40"/>
      <c r="G14" s="38"/>
    </row>
    <row r="15" spans="1:7" x14ac:dyDescent="0.35">
      <c r="A15" s="23"/>
      <c r="B15" s="17"/>
      <c r="C15" s="35"/>
      <c r="D15" s="36"/>
      <c r="E15" s="36" t="str">
        <f>IF(OR($A15="",$D15="",$C15=""),"",$C15*3.5*'Daily Analysis'!$B$4/200*$D15)</f>
        <v/>
      </c>
      <c r="F15" s="36"/>
      <c r="G15" s="17"/>
    </row>
    <row r="16" spans="1:7" x14ac:dyDescent="0.35">
      <c r="A16" s="37"/>
      <c r="B16" s="38"/>
      <c r="C16" s="39"/>
      <c r="D16" s="40"/>
      <c r="E16" s="40" t="str">
        <f>IF(OR($A16="",$D16="",$C16=""),"",$C16*3.5*'Daily Analysis'!$B$4/200*$D16)</f>
        <v/>
      </c>
      <c r="F16" s="40"/>
      <c r="G16" s="38"/>
    </row>
    <row r="17" spans="1:7" x14ac:dyDescent="0.35">
      <c r="A17" s="23"/>
      <c r="B17" s="17"/>
      <c r="C17" s="35"/>
      <c r="D17" s="36"/>
      <c r="E17" s="36" t="str">
        <f>IF(OR($A17="",$D17="",$C17=""),"",$C17*3.5*'Daily Analysis'!$B$4/200*$D17)</f>
        <v/>
      </c>
      <c r="F17" s="36"/>
      <c r="G17" s="17"/>
    </row>
    <row r="18" spans="1:7" x14ac:dyDescent="0.35">
      <c r="A18" s="37"/>
      <c r="B18" s="38"/>
      <c r="C18" s="39"/>
      <c r="D18" s="40"/>
      <c r="E18" s="40" t="str">
        <f>IF(OR($A18="",$D18="",$C18=""),"",$C18*3.5*'Daily Analysis'!$B$4/200*$D18)</f>
        <v/>
      </c>
      <c r="F18" s="40"/>
      <c r="G18" s="38"/>
    </row>
    <row r="19" spans="1:7" x14ac:dyDescent="0.35">
      <c r="A19" s="23"/>
      <c r="B19" s="17"/>
      <c r="C19" s="35"/>
      <c r="D19" s="36"/>
      <c r="E19" s="36" t="str">
        <f>IF(OR($A19="",$D19="",$C19=""),"",$C19*3.5*'Daily Analysis'!$B$4/200*$D19)</f>
        <v/>
      </c>
      <c r="F19" s="36"/>
      <c r="G19" s="17"/>
    </row>
    <row r="20" spans="1:7" x14ac:dyDescent="0.35">
      <c r="A20" s="37"/>
      <c r="B20" s="38"/>
      <c r="C20" s="39"/>
      <c r="D20" s="40"/>
      <c r="E20" s="40" t="str">
        <f>IF(OR($A20="",$D20="",$C20=""),"",$C20*3.5*'Daily Analysis'!$B$4/200*$D20)</f>
        <v/>
      </c>
      <c r="F20" s="40"/>
      <c r="G20" s="38"/>
    </row>
    <row r="21" spans="1:7" x14ac:dyDescent="0.35">
      <c r="A21" s="23"/>
      <c r="B21" s="17"/>
      <c r="C21" s="35"/>
      <c r="D21" s="36"/>
      <c r="E21" s="36" t="str">
        <f>IF(OR($A21="",$D21="",$C21=""),"",$C21*3.5*'Daily Analysis'!$B$4/200*$D21)</f>
        <v/>
      </c>
      <c r="F21" s="36"/>
      <c r="G21" s="17"/>
    </row>
    <row r="22" spans="1:7" x14ac:dyDescent="0.35">
      <c r="A22" s="37"/>
      <c r="B22" s="38"/>
      <c r="C22" s="39"/>
      <c r="D22" s="40"/>
      <c r="E22" s="40" t="str">
        <f>IF(OR($A22="",$D22="",$C22=""),"",$C22*3.5*'Daily Analysis'!$B$4/200*$D22)</f>
        <v/>
      </c>
      <c r="F22" s="40"/>
      <c r="G22" s="38"/>
    </row>
    <row r="23" spans="1:7" x14ac:dyDescent="0.35">
      <c r="A23" s="23"/>
      <c r="B23" s="17"/>
      <c r="C23" s="35"/>
      <c r="D23" s="36"/>
      <c r="E23" s="36" t="str">
        <f>IF(OR($A23="",$D23="",$C23=""),"",$C23*3.5*'Daily Analysis'!$B$4/200*$D23)</f>
        <v/>
      </c>
      <c r="F23" s="36"/>
      <c r="G23" s="17"/>
    </row>
    <row r="24" spans="1:7" x14ac:dyDescent="0.35">
      <c r="A24" s="37"/>
      <c r="B24" s="38"/>
      <c r="C24" s="39"/>
      <c r="D24" s="40"/>
      <c r="E24" s="40" t="str">
        <f>IF(OR($A24="",$D24="",$C24=""),"",$C24*3.5*'Daily Analysis'!$B$4/200*$D24)</f>
        <v/>
      </c>
      <c r="F24" s="40"/>
      <c r="G24" s="38"/>
    </row>
    <row r="25" spans="1:7" x14ac:dyDescent="0.35">
      <c r="A25" s="23"/>
      <c r="B25" s="17"/>
      <c r="C25" s="35"/>
      <c r="D25" s="36"/>
      <c r="E25" s="36" t="str">
        <f>IF(OR($A25="",$D25="",$C25=""),"",$C25*3.5*'Daily Analysis'!$B$4/200*$D25)</f>
        <v/>
      </c>
      <c r="F25" s="36"/>
      <c r="G25" s="17"/>
    </row>
    <row r="26" spans="1:7" x14ac:dyDescent="0.35">
      <c r="A26" s="37"/>
      <c r="B26" s="38"/>
      <c r="C26" s="39"/>
      <c r="D26" s="40"/>
      <c r="E26" s="40" t="str">
        <f>IF(OR($A26="",$D26="",$C26=""),"",$C26*3.5*'Daily Analysis'!$B$4/200*$D26)</f>
        <v/>
      </c>
      <c r="F26" s="40"/>
      <c r="G26" s="38"/>
    </row>
    <row r="27" spans="1:7" x14ac:dyDescent="0.35">
      <c r="A27" s="23"/>
      <c r="B27" s="17"/>
      <c r="C27" s="35"/>
      <c r="D27" s="36"/>
      <c r="E27" s="36" t="str">
        <f>IF(OR($A27="",$D27="",$C27=""),"",$C27*3.5*'Daily Analysis'!$B$4/200*$D27)</f>
        <v/>
      </c>
      <c r="F27" s="36"/>
      <c r="G27" s="17"/>
    </row>
    <row r="28" spans="1:7" x14ac:dyDescent="0.35">
      <c r="A28" s="37"/>
      <c r="B28" s="38"/>
      <c r="C28" s="39"/>
      <c r="D28" s="40"/>
      <c r="E28" s="40" t="str">
        <f>IF(OR($A28="",$D28="",$C28=""),"",$C28*3.5*'Daily Analysis'!$B$4/200*$D28)</f>
        <v/>
      </c>
      <c r="F28" s="40"/>
      <c r="G28" s="38"/>
    </row>
    <row r="29" spans="1:7" x14ac:dyDescent="0.35">
      <c r="A29" s="23"/>
      <c r="B29" s="17"/>
      <c r="C29" s="35"/>
      <c r="D29" s="36"/>
      <c r="E29" s="36" t="str">
        <f>IF(OR($A29="",$D29="",$C29=""),"",$C29*3.5*'Daily Analysis'!$B$4/200*$D29)</f>
        <v/>
      </c>
      <c r="F29" s="36"/>
      <c r="G29" s="17"/>
    </row>
    <row r="30" spans="1:7" x14ac:dyDescent="0.35">
      <c r="A30" s="37"/>
      <c r="B30" s="38"/>
      <c r="C30" s="39"/>
      <c r="D30" s="40"/>
      <c r="E30" s="40" t="str">
        <f>IF(OR($A30="",$D30="",$C30=""),"",$C30*3.5*'Daily Analysis'!$B$4/200*$D30)</f>
        <v/>
      </c>
      <c r="F30" s="40"/>
      <c r="G30" s="38"/>
    </row>
    <row r="31" spans="1:7" x14ac:dyDescent="0.35">
      <c r="A31" s="23"/>
      <c r="B31" s="17"/>
      <c r="C31" s="35"/>
      <c r="D31" s="36"/>
      <c r="E31" s="36" t="str">
        <f>IF(OR($A31="",$D31="",$C31=""),"",$C31*3.5*'Daily Analysis'!$B$4/200*$D31)</f>
        <v/>
      </c>
      <c r="F31" s="36"/>
      <c r="G31" s="17"/>
    </row>
    <row r="32" spans="1:7" x14ac:dyDescent="0.35">
      <c r="A32" s="37"/>
      <c r="B32" s="38"/>
      <c r="C32" s="39"/>
      <c r="D32" s="40"/>
      <c r="E32" s="40" t="str">
        <f>IF(OR($A32="",$D32="",$C32=""),"",$C32*3.5*'Daily Analysis'!$B$4/200*$D32)</f>
        <v/>
      </c>
      <c r="F32" s="40"/>
      <c r="G32" s="38"/>
    </row>
    <row r="33" spans="1:7" x14ac:dyDescent="0.35">
      <c r="A33" s="23"/>
      <c r="B33" s="17"/>
      <c r="C33" s="35"/>
      <c r="D33" s="36"/>
      <c r="E33" s="36" t="str">
        <f>IF(OR($A33="",$D33="",$C33=""),"",$C33*3.5*'Daily Analysis'!$B$4/200*$D33)</f>
        <v/>
      </c>
      <c r="F33" s="36"/>
      <c r="G33" s="17"/>
    </row>
    <row r="34" spans="1:7" x14ac:dyDescent="0.35">
      <c r="A34" s="37"/>
      <c r="B34" s="38"/>
      <c r="C34" s="39"/>
      <c r="D34" s="40"/>
      <c r="E34" s="40" t="str">
        <f>IF(OR($A34="",$D34="",$C34=""),"",$C34*3.5*'Daily Analysis'!$B$4/200*$D34)</f>
        <v/>
      </c>
      <c r="F34" s="40"/>
      <c r="G34" s="38"/>
    </row>
    <row r="35" spans="1:7" x14ac:dyDescent="0.35">
      <c r="A35" s="23"/>
      <c r="B35" s="17"/>
      <c r="C35" s="35"/>
      <c r="D35" s="36"/>
      <c r="E35" s="36" t="str">
        <f>IF(OR($A35="",$D35="",$C35=""),"",$C35*3.5*'Daily Analysis'!$B$4/200*$D35)</f>
        <v/>
      </c>
      <c r="F35" s="36"/>
      <c r="G35" s="17"/>
    </row>
    <row r="36" spans="1:7" x14ac:dyDescent="0.35">
      <c r="A36" s="37"/>
      <c r="B36" s="38"/>
      <c r="C36" s="39"/>
      <c r="D36" s="40"/>
      <c r="E36" s="40" t="str">
        <f>IF(OR($A36="",$D36="",$C36=""),"",$C36*3.5*'Daily Analysis'!$B$4/200*$D36)</f>
        <v/>
      </c>
      <c r="F36" s="40"/>
      <c r="G36" s="38"/>
    </row>
    <row r="37" spans="1:7" x14ac:dyDescent="0.35">
      <c r="A37" s="23"/>
      <c r="B37" s="17"/>
      <c r="C37" s="35"/>
      <c r="D37" s="36"/>
      <c r="E37" s="36" t="str">
        <f>IF(OR($A37="",$D37="",$C37=""),"",$C37*3.5*'Daily Analysis'!$B$4/200*$D37)</f>
        <v/>
      </c>
      <c r="F37" s="36"/>
      <c r="G37" s="17"/>
    </row>
    <row r="38" spans="1:7" x14ac:dyDescent="0.35">
      <c r="A38" s="37"/>
      <c r="B38" s="38"/>
      <c r="C38" s="39"/>
      <c r="D38" s="40"/>
      <c r="E38" s="40" t="str">
        <f>IF(OR($A38="",$D38="",$C38=""),"",$C38*3.5*'Daily Analysis'!$B$4/200*$D38)</f>
        <v/>
      </c>
      <c r="F38" s="40"/>
      <c r="G38" s="38"/>
    </row>
    <row r="39" spans="1:7" x14ac:dyDescent="0.35">
      <c r="A39" s="23"/>
      <c r="B39" s="17"/>
      <c r="C39" s="35"/>
      <c r="D39" s="36"/>
      <c r="E39" s="36" t="str">
        <f>IF(OR($A39="",$D39="",$C39=""),"",$C39*3.5*'Daily Analysis'!$B$4/200*$D39)</f>
        <v/>
      </c>
      <c r="F39" s="36"/>
      <c r="G39" s="17"/>
    </row>
    <row r="40" spans="1:7" x14ac:dyDescent="0.35">
      <c r="A40" s="37"/>
      <c r="B40" s="38"/>
      <c r="C40" s="39"/>
      <c r="D40" s="40"/>
      <c r="E40" s="40" t="str">
        <f>IF(OR($A40="",$D40="",$C40=""),"",$C40*3.5*'Daily Analysis'!$B$4/200*$D40)</f>
        <v/>
      </c>
      <c r="F40" s="40"/>
      <c r="G40" s="38"/>
    </row>
    <row r="41" spans="1:7" x14ac:dyDescent="0.35">
      <c r="A41" s="23"/>
      <c r="B41" s="17"/>
      <c r="C41" s="35"/>
      <c r="D41" s="36"/>
      <c r="E41" s="36" t="str">
        <f>IF(OR($A41="",$D41="",$C41=""),"",$C41*3.5*'Daily Analysis'!$B$4/200*$D41)</f>
        <v/>
      </c>
      <c r="F41" s="36"/>
      <c r="G41" s="17"/>
    </row>
    <row r="42" spans="1:7" x14ac:dyDescent="0.35">
      <c r="A42" s="37"/>
      <c r="B42" s="38"/>
      <c r="C42" s="39"/>
      <c r="D42" s="40"/>
      <c r="E42" s="40" t="str">
        <f>IF(OR($A42="",$D42="",$C42=""),"",$C42*3.5*'Daily Analysis'!$B$4/200*$D42)</f>
        <v/>
      </c>
      <c r="F42" s="40"/>
      <c r="G42" s="38"/>
    </row>
    <row r="43" spans="1:7" x14ac:dyDescent="0.35">
      <c r="A43" s="23"/>
      <c r="B43" s="17"/>
      <c r="C43" s="35"/>
      <c r="D43" s="36"/>
      <c r="E43" s="36" t="str">
        <f>IF(OR($A43="",$D43="",$C43=""),"",$C43*3.5*'Daily Analysis'!$B$4/200*$D43)</f>
        <v/>
      </c>
      <c r="F43" s="36"/>
      <c r="G43" s="17"/>
    </row>
    <row r="44" spans="1:7" x14ac:dyDescent="0.35">
      <c r="A44" s="37"/>
      <c r="B44" s="38"/>
      <c r="C44" s="39"/>
      <c r="D44" s="40"/>
      <c r="E44" s="40" t="str">
        <f>IF(OR($A44="",$D44="",$C44=""),"",$C44*3.5*'Daily Analysis'!$B$4/200*$D44)</f>
        <v/>
      </c>
      <c r="F44" s="40"/>
      <c r="G44" s="38"/>
    </row>
    <row r="45" spans="1:7" x14ac:dyDescent="0.35">
      <c r="A45" s="23"/>
      <c r="B45" s="17"/>
      <c r="C45" s="35"/>
      <c r="D45" s="36"/>
      <c r="E45" s="36" t="str">
        <f>IF(OR($A45="",$D45="",$C45=""),"",$C45*3.5*'Daily Analysis'!$B$4/200*$D45)</f>
        <v/>
      </c>
      <c r="F45" s="36"/>
      <c r="G45" s="17"/>
    </row>
    <row r="46" spans="1:7" x14ac:dyDescent="0.35">
      <c r="A46" s="37"/>
      <c r="B46" s="38"/>
      <c r="C46" s="39"/>
      <c r="D46" s="40"/>
      <c r="E46" s="40" t="str">
        <f>IF(OR($A46="",$D46="",$C46=""),"",$C46*3.5*'Daily Analysis'!$B$4/200*$D46)</f>
        <v/>
      </c>
      <c r="F46" s="40"/>
      <c r="G46" s="38"/>
    </row>
    <row r="47" spans="1:7" x14ac:dyDescent="0.35">
      <c r="A47" s="23"/>
      <c r="B47" s="17"/>
      <c r="C47" s="35"/>
      <c r="D47" s="36"/>
      <c r="E47" s="36" t="str">
        <f>IF(OR($A47="",$D47="",$C47=""),"",$C47*3.5*'Daily Analysis'!$B$4/200*$D47)</f>
        <v/>
      </c>
      <c r="F47" s="36"/>
      <c r="G47" s="17"/>
    </row>
    <row r="48" spans="1:7" x14ac:dyDescent="0.35">
      <c r="A48" s="37"/>
      <c r="B48" s="38"/>
      <c r="C48" s="39"/>
      <c r="D48" s="40"/>
      <c r="E48" s="40" t="str">
        <f>IF(OR($A48="",$D48="",$C48=""),"",$C48*3.5*'Daily Analysis'!$B$4/200*$D48)</f>
        <v/>
      </c>
      <c r="F48" s="40"/>
      <c r="G48" s="38"/>
    </row>
    <row r="49" spans="1:7" x14ac:dyDescent="0.35">
      <c r="A49" s="23"/>
      <c r="B49" s="17"/>
      <c r="C49" s="35"/>
      <c r="D49" s="36"/>
      <c r="E49" s="36" t="str">
        <f>IF(OR($A49="",$D49="",$C49=""),"",$C49*3.5*'Daily Analysis'!$B$4/200*$D49)</f>
        <v/>
      </c>
      <c r="F49" s="36"/>
      <c r="G49" s="17"/>
    </row>
    <row r="50" spans="1:7" x14ac:dyDescent="0.35">
      <c r="A50" s="37"/>
      <c r="B50" s="38"/>
      <c r="C50" s="39"/>
      <c r="D50" s="40"/>
      <c r="E50" s="40" t="str">
        <f>IF(OR($A50="",$D50="",$C50=""),"",$C50*3.5*'Daily Analysis'!$B$4/200*$D50)</f>
        <v/>
      </c>
      <c r="F50" s="40"/>
      <c r="G50" s="38"/>
    </row>
    <row r="51" spans="1:7" x14ac:dyDescent="0.35">
      <c r="A51" s="23"/>
      <c r="B51" s="17"/>
      <c r="C51" s="35"/>
      <c r="D51" s="36"/>
      <c r="E51" s="36" t="str">
        <f>IF(OR($A51="",$D51="",$C51=""),"",$C51*3.5*'Daily Analysis'!$B$4/200*$D51)</f>
        <v/>
      </c>
      <c r="F51" s="36"/>
      <c r="G51" s="17"/>
    </row>
    <row r="52" spans="1:7" x14ac:dyDescent="0.35">
      <c r="A52" s="37"/>
      <c r="B52" s="38"/>
      <c r="C52" s="39"/>
      <c r="D52" s="40"/>
      <c r="E52" s="40" t="str">
        <f>IF(OR($A52="",$D52="",$C52=""),"",$C52*3.5*'Daily Analysis'!$B$4/200*$D52)</f>
        <v/>
      </c>
      <c r="F52" s="40"/>
      <c r="G52" s="38"/>
    </row>
    <row r="53" spans="1:7" x14ac:dyDescent="0.35">
      <c r="A53" s="23"/>
      <c r="B53" s="17"/>
      <c r="C53" s="35"/>
      <c r="D53" s="36"/>
      <c r="E53" s="36" t="str">
        <f>IF(OR($A53="",$D53="",$C53=""),"",$C53*3.5*'Daily Analysis'!$B$4/200*$D53)</f>
        <v/>
      </c>
      <c r="F53" s="36"/>
      <c r="G53" s="17"/>
    </row>
    <row r="54" spans="1:7" x14ac:dyDescent="0.35">
      <c r="A54" s="37"/>
      <c r="B54" s="38"/>
      <c r="C54" s="39"/>
      <c r="D54" s="40"/>
      <c r="E54" s="40" t="str">
        <f>IF(OR($A54="",$D54="",$C54=""),"",$C54*3.5*'Daily Analysis'!$B$4/200*$D54)</f>
        <v/>
      </c>
      <c r="F54" s="40"/>
      <c r="G54" s="38"/>
    </row>
    <row r="55" spans="1:7" x14ac:dyDescent="0.35">
      <c r="A55" s="23"/>
      <c r="B55" s="17"/>
      <c r="C55" s="35"/>
      <c r="D55" s="36"/>
      <c r="E55" s="36" t="str">
        <f>IF(OR($A55="",$D55="",$C55=""),"",$C55*3.5*'Daily Analysis'!$B$4/200*$D55)</f>
        <v/>
      </c>
      <c r="F55" s="36"/>
      <c r="G55" s="17"/>
    </row>
    <row r="56" spans="1:7" x14ac:dyDescent="0.35">
      <c r="A56" s="37"/>
      <c r="B56" s="38"/>
      <c r="C56" s="39"/>
      <c r="D56" s="40"/>
      <c r="E56" s="40" t="str">
        <f>IF(OR($A56="",$D56="",$C56=""),"",$C56*3.5*'Daily Analysis'!$B$4/200*$D56)</f>
        <v/>
      </c>
      <c r="F56" s="40"/>
      <c r="G56" s="38"/>
    </row>
    <row r="57" spans="1:7" x14ac:dyDescent="0.35">
      <c r="A57" s="23"/>
      <c r="B57" s="17"/>
      <c r="C57" s="35"/>
      <c r="D57" s="36"/>
      <c r="E57" s="36" t="str">
        <f>IF(OR($A57="",$D57="",$C57=""),"",$C57*3.5*'Daily Analysis'!$B$4/200*$D57)</f>
        <v/>
      </c>
      <c r="F57" s="36"/>
      <c r="G57" s="17"/>
    </row>
    <row r="58" spans="1:7" x14ac:dyDescent="0.35">
      <c r="A58" s="37"/>
      <c r="B58" s="38"/>
      <c r="C58" s="39"/>
      <c r="D58" s="40"/>
      <c r="E58" s="40" t="str">
        <f>IF(OR($A58="",$D58="",$C58=""),"",$C58*3.5*'Daily Analysis'!$B$4/200*$D58)</f>
        <v/>
      </c>
      <c r="F58" s="40"/>
      <c r="G58" s="38"/>
    </row>
    <row r="59" spans="1:7" x14ac:dyDescent="0.35">
      <c r="A59" s="23"/>
      <c r="B59" s="17"/>
      <c r="C59" s="35"/>
      <c r="D59" s="36"/>
      <c r="E59" s="36" t="str">
        <f>IF(OR($A59="",$D59="",$C59=""),"",$C59*3.5*'Daily Analysis'!$B$4/200*$D59)</f>
        <v/>
      </c>
      <c r="F59" s="36"/>
      <c r="G59" s="17"/>
    </row>
    <row r="60" spans="1:7" x14ac:dyDescent="0.35">
      <c r="A60" s="37"/>
      <c r="B60" s="38"/>
      <c r="C60" s="39"/>
      <c r="D60" s="40"/>
      <c r="E60" s="40" t="str">
        <f>IF(OR($A60="",$D60="",$C60=""),"",$C60*3.5*'Daily Analysis'!$B$4/200*$D60)</f>
        <v/>
      </c>
      <c r="F60" s="40"/>
      <c r="G60" s="38"/>
    </row>
    <row r="61" spans="1:7" x14ac:dyDescent="0.35">
      <c r="A61" s="23"/>
      <c r="B61" s="17"/>
      <c r="C61" s="35"/>
      <c r="D61" s="36"/>
      <c r="E61" s="36" t="str">
        <f>IF(OR($A61="",$D61="",$C61=""),"",$C61*3.5*'Daily Analysis'!$B$4/200*$D61)</f>
        <v/>
      </c>
      <c r="F61" s="36"/>
      <c r="G61" s="17"/>
    </row>
    <row r="62" spans="1:7" x14ac:dyDescent="0.35">
      <c r="A62" s="37"/>
      <c r="B62" s="38"/>
      <c r="C62" s="39"/>
      <c r="D62" s="40"/>
      <c r="E62" s="40" t="str">
        <f>IF(OR($A62="",$D62="",$C62=""),"",$C62*3.5*'Daily Analysis'!$B$4/200*$D62)</f>
        <v/>
      </c>
      <c r="F62" s="40"/>
      <c r="G62" s="38"/>
    </row>
  </sheetData>
  <mergeCells count="2">
    <mergeCell ref="A1:G1"/>
    <mergeCell ref="A2:G2"/>
  </mergeCells>
  <dataValidations count="1">
    <dataValidation type="whole" allowBlank="1" sqref="F13:F62" xr:uid="{00000000-0002-0000-0200-000000000000}">
      <formula1>1</formula1>
      <formula2>10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2"/>
  <sheetViews>
    <sheetView zoomScaleNormal="100" workbookViewId="0">
      <pane ySplit="12" topLeftCell="A13" activePane="bottomLeft" state="frozen"/>
      <selection pane="bottomLeft" sqref="A1:H1"/>
    </sheetView>
  </sheetViews>
  <sheetFormatPr defaultColWidth="8.6328125" defaultRowHeight="14.5" x14ac:dyDescent="0.35"/>
  <cols>
    <col min="1" max="1" width="13" customWidth="1"/>
    <col min="2" max="7" width="11" customWidth="1"/>
    <col min="8" max="8" width="18" customWidth="1"/>
  </cols>
  <sheetData>
    <row r="1" spans="1:8" ht="30" customHeight="1" x14ac:dyDescent="0.35">
      <c r="A1" s="6" t="s">
        <v>58</v>
      </c>
      <c r="B1" s="6"/>
      <c r="C1" s="6"/>
      <c r="D1" s="6"/>
      <c r="E1" s="6"/>
      <c r="F1" s="6"/>
      <c r="G1" s="6"/>
      <c r="H1" s="6"/>
    </row>
    <row r="2" spans="1:8" x14ac:dyDescent="0.35">
      <c r="A2" s="9" t="s">
        <v>32</v>
      </c>
      <c r="B2" s="9"/>
      <c r="C2" s="9"/>
      <c r="D2" s="9"/>
      <c r="E2" s="9"/>
      <c r="F2" s="9"/>
      <c r="G2" s="9"/>
      <c r="H2" s="9"/>
    </row>
    <row r="4" spans="1:8" x14ac:dyDescent="0.35">
      <c r="A4" s="11" t="s">
        <v>33</v>
      </c>
      <c r="D4" s="12" t="s">
        <v>59</v>
      </c>
      <c r="E4" s="13">
        <v>9</v>
      </c>
    </row>
    <row r="5" spans="1:8" x14ac:dyDescent="0.35">
      <c r="A5" s="12" t="s">
        <v>13</v>
      </c>
      <c r="B5" s="15">
        <f>COUNT(A13:A62)</f>
        <v>0</v>
      </c>
      <c r="D5" s="12" t="s">
        <v>60</v>
      </c>
      <c r="E5" s="42" t="str">
        <f>IF(COUNT(B13:B62)=0,"",MIN(D13:D62))</f>
        <v/>
      </c>
    </row>
    <row r="6" spans="1:8" x14ac:dyDescent="0.35">
      <c r="A6" s="12" t="s">
        <v>61</v>
      </c>
      <c r="B6" s="33">
        <f>SUM(B13:B62)</f>
        <v>0</v>
      </c>
      <c r="D6" s="12" t="s">
        <v>62</v>
      </c>
      <c r="E6" s="33" t="str">
        <f>IF(COUNT(B13:B62)=0,"",MAX(B13:B62))</f>
        <v/>
      </c>
    </row>
    <row r="7" spans="1:8" x14ac:dyDescent="0.35">
      <c r="A7" s="12" t="s">
        <v>36</v>
      </c>
      <c r="B7" s="31">
        <f>ROUND(SUM(F13:F62),0)</f>
        <v>0</v>
      </c>
      <c r="D7" s="12" t="s">
        <v>63</v>
      </c>
      <c r="E7" s="33" t="str">
        <f>IF(COUNT(E13:E62)=0,"",AVERAGE(E13:E62))</f>
        <v/>
      </c>
    </row>
    <row r="12" spans="1:8" ht="30" customHeight="1" x14ac:dyDescent="0.35">
      <c r="A12" s="43" t="s">
        <v>27</v>
      </c>
      <c r="B12" s="43" t="s">
        <v>64</v>
      </c>
      <c r="C12" s="43" t="s">
        <v>50</v>
      </c>
      <c r="D12" s="43" t="s">
        <v>65</v>
      </c>
      <c r="E12" s="43" t="s">
        <v>66</v>
      </c>
      <c r="F12" s="43" t="s">
        <v>51</v>
      </c>
      <c r="G12" s="43" t="s">
        <v>52</v>
      </c>
      <c r="H12" s="43" t="s">
        <v>53</v>
      </c>
    </row>
    <row r="13" spans="1:8" x14ac:dyDescent="0.35">
      <c r="A13" s="23"/>
      <c r="B13" s="44"/>
      <c r="C13" s="36"/>
      <c r="D13" s="44" t="str">
        <f t="shared" ref="D13:D44" si="0">IF(OR($B13="",$C13="",$B13=0),"",$C13/$B13)</f>
        <v/>
      </c>
      <c r="E13" s="35" t="str">
        <f t="shared" ref="E13:E44" si="1">IF(OR($B13="",$C13="",$C13=0),"",$B13/($C13/60))</f>
        <v/>
      </c>
      <c r="F13" s="36" t="str">
        <f>IF($C13="","",$E$4*3.5*'Daily Analysis'!$B$4/200*$C13)</f>
        <v/>
      </c>
      <c r="G13" s="36"/>
      <c r="H13" s="17"/>
    </row>
    <row r="14" spans="1:8" x14ac:dyDescent="0.35">
      <c r="A14" s="37"/>
      <c r="B14" s="45"/>
      <c r="C14" s="40"/>
      <c r="D14" s="45" t="str">
        <f t="shared" si="0"/>
        <v/>
      </c>
      <c r="E14" s="39" t="str">
        <f t="shared" si="1"/>
        <v/>
      </c>
      <c r="F14" s="40" t="str">
        <f>IF($C14="","",$E$4*3.5*'Daily Analysis'!$B$4/200*$C14)</f>
        <v/>
      </c>
      <c r="G14" s="40"/>
      <c r="H14" s="38"/>
    </row>
    <row r="15" spans="1:8" x14ac:dyDescent="0.35">
      <c r="A15" s="23"/>
      <c r="B15" s="44"/>
      <c r="C15" s="36"/>
      <c r="D15" s="44" t="str">
        <f t="shared" si="0"/>
        <v/>
      </c>
      <c r="E15" s="35" t="str">
        <f t="shared" si="1"/>
        <v/>
      </c>
      <c r="F15" s="36" t="str">
        <f>IF($C15="","",$E$4*3.5*'Daily Analysis'!$B$4/200*$C15)</f>
        <v/>
      </c>
      <c r="G15" s="36"/>
      <c r="H15" s="17"/>
    </row>
    <row r="16" spans="1:8" x14ac:dyDescent="0.35">
      <c r="A16" s="37"/>
      <c r="B16" s="45"/>
      <c r="C16" s="40"/>
      <c r="D16" s="45" t="str">
        <f t="shared" si="0"/>
        <v/>
      </c>
      <c r="E16" s="39" t="str">
        <f t="shared" si="1"/>
        <v/>
      </c>
      <c r="F16" s="40" t="str">
        <f>IF($C16="","",$E$4*3.5*'Daily Analysis'!$B$4/200*$C16)</f>
        <v/>
      </c>
      <c r="G16" s="40"/>
      <c r="H16" s="38"/>
    </row>
    <row r="17" spans="1:8" x14ac:dyDescent="0.35">
      <c r="A17" s="23"/>
      <c r="B17" s="44"/>
      <c r="C17" s="36"/>
      <c r="D17" s="44" t="str">
        <f t="shared" si="0"/>
        <v/>
      </c>
      <c r="E17" s="35" t="str">
        <f t="shared" si="1"/>
        <v/>
      </c>
      <c r="F17" s="36" t="str">
        <f>IF($C17="","",$E$4*3.5*'Daily Analysis'!$B$4/200*$C17)</f>
        <v/>
      </c>
      <c r="G17" s="36"/>
      <c r="H17" s="17"/>
    </row>
    <row r="18" spans="1:8" x14ac:dyDescent="0.35">
      <c r="A18" s="37"/>
      <c r="B18" s="45"/>
      <c r="C18" s="40"/>
      <c r="D18" s="45" t="str">
        <f t="shared" si="0"/>
        <v/>
      </c>
      <c r="E18" s="39" t="str">
        <f t="shared" si="1"/>
        <v/>
      </c>
      <c r="F18" s="40" t="str">
        <f>IF($C18="","",$E$4*3.5*'Daily Analysis'!$B$4/200*$C18)</f>
        <v/>
      </c>
      <c r="G18" s="40"/>
      <c r="H18" s="38"/>
    </row>
    <row r="19" spans="1:8" x14ac:dyDescent="0.35">
      <c r="A19" s="23"/>
      <c r="B19" s="44"/>
      <c r="C19" s="36"/>
      <c r="D19" s="44" t="str">
        <f t="shared" si="0"/>
        <v/>
      </c>
      <c r="E19" s="35" t="str">
        <f t="shared" si="1"/>
        <v/>
      </c>
      <c r="F19" s="36" t="str">
        <f>IF($C19="","",$E$4*3.5*'Daily Analysis'!$B$4/200*$C19)</f>
        <v/>
      </c>
      <c r="G19" s="36"/>
      <c r="H19" s="17"/>
    </row>
    <row r="20" spans="1:8" x14ac:dyDescent="0.35">
      <c r="A20" s="37"/>
      <c r="B20" s="45"/>
      <c r="C20" s="40"/>
      <c r="D20" s="45" t="str">
        <f t="shared" si="0"/>
        <v/>
      </c>
      <c r="E20" s="39" t="str">
        <f t="shared" si="1"/>
        <v/>
      </c>
      <c r="F20" s="40" t="str">
        <f>IF($C20="","",$E$4*3.5*'Daily Analysis'!$B$4/200*$C20)</f>
        <v/>
      </c>
      <c r="G20" s="40"/>
      <c r="H20" s="38"/>
    </row>
    <row r="21" spans="1:8" x14ac:dyDescent="0.35">
      <c r="A21" s="23"/>
      <c r="B21" s="44"/>
      <c r="C21" s="36"/>
      <c r="D21" s="44" t="str">
        <f t="shared" si="0"/>
        <v/>
      </c>
      <c r="E21" s="35" t="str">
        <f t="shared" si="1"/>
        <v/>
      </c>
      <c r="F21" s="36" t="str">
        <f>IF($C21="","",$E$4*3.5*'Daily Analysis'!$B$4/200*$C21)</f>
        <v/>
      </c>
      <c r="G21" s="36"/>
      <c r="H21" s="17"/>
    </row>
    <row r="22" spans="1:8" x14ac:dyDescent="0.35">
      <c r="A22" s="37"/>
      <c r="B22" s="45"/>
      <c r="C22" s="40"/>
      <c r="D22" s="45" t="str">
        <f t="shared" si="0"/>
        <v/>
      </c>
      <c r="E22" s="39" t="str">
        <f t="shared" si="1"/>
        <v/>
      </c>
      <c r="F22" s="40" t="str">
        <f>IF($C22="","",$E$4*3.5*'Daily Analysis'!$B$4/200*$C22)</f>
        <v/>
      </c>
      <c r="G22" s="40"/>
      <c r="H22" s="38"/>
    </row>
    <row r="23" spans="1:8" x14ac:dyDescent="0.35">
      <c r="A23" s="23"/>
      <c r="B23" s="44"/>
      <c r="C23" s="36"/>
      <c r="D23" s="44" t="str">
        <f t="shared" si="0"/>
        <v/>
      </c>
      <c r="E23" s="35" t="str">
        <f t="shared" si="1"/>
        <v/>
      </c>
      <c r="F23" s="36" t="str">
        <f>IF($C23="","",$E$4*3.5*'Daily Analysis'!$B$4/200*$C23)</f>
        <v/>
      </c>
      <c r="G23" s="36"/>
      <c r="H23" s="17"/>
    </row>
    <row r="24" spans="1:8" x14ac:dyDescent="0.35">
      <c r="A24" s="37"/>
      <c r="B24" s="45"/>
      <c r="C24" s="40"/>
      <c r="D24" s="45" t="str">
        <f t="shared" si="0"/>
        <v/>
      </c>
      <c r="E24" s="39" t="str">
        <f t="shared" si="1"/>
        <v/>
      </c>
      <c r="F24" s="40" t="str">
        <f>IF($C24="","",$E$4*3.5*'Daily Analysis'!$B$4/200*$C24)</f>
        <v/>
      </c>
      <c r="G24" s="40"/>
      <c r="H24" s="38"/>
    </row>
    <row r="25" spans="1:8" x14ac:dyDescent="0.35">
      <c r="A25" s="23"/>
      <c r="B25" s="44"/>
      <c r="C25" s="36"/>
      <c r="D25" s="44" t="str">
        <f t="shared" si="0"/>
        <v/>
      </c>
      <c r="E25" s="35" t="str">
        <f t="shared" si="1"/>
        <v/>
      </c>
      <c r="F25" s="36" t="str">
        <f>IF($C25="","",$E$4*3.5*'Daily Analysis'!$B$4/200*$C25)</f>
        <v/>
      </c>
      <c r="G25" s="36"/>
      <c r="H25" s="17"/>
    </row>
    <row r="26" spans="1:8" x14ac:dyDescent="0.35">
      <c r="A26" s="37"/>
      <c r="B26" s="45"/>
      <c r="C26" s="40"/>
      <c r="D26" s="45" t="str">
        <f t="shared" si="0"/>
        <v/>
      </c>
      <c r="E26" s="39" t="str">
        <f t="shared" si="1"/>
        <v/>
      </c>
      <c r="F26" s="40" t="str">
        <f>IF($C26="","",$E$4*3.5*'Daily Analysis'!$B$4/200*$C26)</f>
        <v/>
      </c>
      <c r="G26" s="40"/>
      <c r="H26" s="38"/>
    </row>
    <row r="27" spans="1:8" x14ac:dyDescent="0.35">
      <c r="A27" s="23"/>
      <c r="B27" s="44"/>
      <c r="C27" s="36"/>
      <c r="D27" s="44" t="str">
        <f t="shared" si="0"/>
        <v/>
      </c>
      <c r="E27" s="35" t="str">
        <f t="shared" si="1"/>
        <v/>
      </c>
      <c r="F27" s="36" t="str">
        <f>IF($C27="","",$E$4*3.5*'Daily Analysis'!$B$4/200*$C27)</f>
        <v/>
      </c>
      <c r="G27" s="36"/>
      <c r="H27" s="17"/>
    </row>
    <row r="28" spans="1:8" x14ac:dyDescent="0.35">
      <c r="A28" s="37"/>
      <c r="B28" s="45"/>
      <c r="C28" s="40"/>
      <c r="D28" s="45" t="str">
        <f t="shared" si="0"/>
        <v/>
      </c>
      <c r="E28" s="39" t="str">
        <f t="shared" si="1"/>
        <v/>
      </c>
      <c r="F28" s="40" t="str">
        <f>IF($C28="","",$E$4*3.5*'Daily Analysis'!$B$4/200*$C28)</f>
        <v/>
      </c>
      <c r="G28" s="40"/>
      <c r="H28" s="38"/>
    </row>
    <row r="29" spans="1:8" x14ac:dyDescent="0.35">
      <c r="A29" s="23"/>
      <c r="B29" s="44"/>
      <c r="C29" s="36"/>
      <c r="D29" s="44" t="str">
        <f t="shared" si="0"/>
        <v/>
      </c>
      <c r="E29" s="35" t="str">
        <f t="shared" si="1"/>
        <v/>
      </c>
      <c r="F29" s="36" t="str">
        <f>IF($C29="","",$E$4*3.5*'Daily Analysis'!$B$4/200*$C29)</f>
        <v/>
      </c>
      <c r="G29" s="36"/>
      <c r="H29" s="17"/>
    </row>
    <row r="30" spans="1:8" x14ac:dyDescent="0.35">
      <c r="A30" s="37"/>
      <c r="B30" s="45"/>
      <c r="C30" s="40"/>
      <c r="D30" s="45" t="str">
        <f t="shared" si="0"/>
        <v/>
      </c>
      <c r="E30" s="39" t="str">
        <f t="shared" si="1"/>
        <v/>
      </c>
      <c r="F30" s="40" t="str">
        <f>IF($C30="","",$E$4*3.5*'Daily Analysis'!$B$4/200*$C30)</f>
        <v/>
      </c>
      <c r="G30" s="40"/>
      <c r="H30" s="38"/>
    </row>
    <row r="31" spans="1:8" x14ac:dyDescent="0.35">
      <c r="A31" s="23"/>
      <c r="B31" s="44"/>
      <c r="C31" s="36"/>
      <c r="D31" s="44" t="str">
        <f t="shared" si="0"/>
        <v/>
      </c>
      <c r="E31" s="35" t="str">
        <f t="shared" si="1"/>
        <v/>
      </c>
      <c r="F31" s="36" t="str">
        <f>IF($C31="","",$E$4*3.5*'Daily Analysis'!$B$4/200*$C31)</f>
        <v/>
      </c>
      <c r="G31" s="36"/>
      <c r="H31" s="17"/>
    </row>
    <row r="32" spans="1:8" x14ac:dyDescent="0.35">
      <c r="A32" s="37"/>
      <c r="B32" s="45"/>
      <c r="C32" s="40"/>
      <c r="D32" s="45" t="str">
        <f t="shared" si="0"/>
        <v/>
      </c>
      <c r="E32" s="39" t="str">
        <f t="shared" si="1"/>
        <v/>
      </c>
      <c r="F32" s="40" t="str">
        <f>IF($C32="","",$E$4*3.5*'Daily Analysis'!$B$4/200*$C32)</f>
        <v/>
      </c>
      <c r="G32" s="40"/>
      <c r="H32" s="38"/>
    </row>
    <row r="33" spans="1:8" x14ac:dyDescent="0.35">
      <c r="A33" s="23"/>
      <c r="B33" s="44"/>
      <c r="C33" s="36"/>
      <c r="D33" s="44" t="str">
        <f t="shared" si="0"/>
        <v/>
      </c>
      <c r="E33" s="35" t="str">
        <f t="shared" si="1"/>
        <v/>
      </c>
      <c r="F33" s="36" t="str">
        <f>IF($C33="","",$E$4*3.5*'Daily Analysis'!$B$4/200*$C33)</f>
        <v/>
      </c>
      <c r="G33" s="36"/>
      <c r="H33" s="17"/>
    </row>
    <row r="34" spans="1:8" x14ac:dyDescent="0.35">
      <c r="A34" s="37"/>
      <c r="B34" s="45"/>
      <c r="C34" s="40"/>
      <c r="D34" s="45" t="str">
        <f t="shared" si="0"/>
        <v/>
      </c>
      <c r="E34" s="39" t="str">
        <f t="shared" si="1"/>
        <v/>
      </c>
      <c r="F34" s="40" t="str">
        <f>IF($C34="","",$E$4*3.5*'Daily Analysis'!$B$4/200*$C34)</f>
        <v/>
      </c>
      <c r="G34" s="40"/>
      <c r="H34" s="38"/>
    </row>
    <row r="35" spans="1:8" x14ac:dyDescent="0.35">
      <c r="A35" s="23"/>
      <c r="B35" s="44"/>
      <c r="C35" s="36"/>
      <c r="D35" s="44" t="str">
        <f t="shared" si="0"/>
        <v/>
      </c>
      <c r="E35" s="35" t="str">
        <f t="shared" si="1"/>
        <v/>
      </c>
      <c r="F35" s="36" t="str">
        <f>IF($C35="","",$E$4*3.5*'Daily Analysis'!$B$4/200*$C35)</f>
        <v/>
      </c>
      <c r="G35" s="36"/>
      <c r="H35" s="17"/>
    </row>
    <row r="36" spans="1:8" x14ac:dyDescent="0.35">
      <c r="A36" s="37"/>
      <c r="B36" s="45"/>
      <c r="C36" s="40"/>
      <c r="D36" s="45" t="str">
        <f t="shared" si="0"/>
        <v/>
      </c>
      <c r="E36" s="39" t="str">
        <f t="shared" si="1"/>
        <v/>
      </c>
      <c r="F36" s="40" t="str">
        <f>IF($C36="","",$E$4*3.5*'Daily Analysis'!$B$4/200*$C36)</f>
        <v/>
      </c>
      <c r="G36" s="40"/>
      <c r="H36" s="38"/>
    </row>
    <row r="37" spans="1:8" x14ac:dyDescent="0.35">
      <c r="A37" s="23"/>
      <c r="B37" s="44"/>
      <c r="C37" s="36"/>
      <c r="D37" s="44" t="str">
        <f t="shared" si="0"/>
        <v/>
      </c>
      <c r="E37" s="35" t="str">
        <f t="shared" si="1"/>
        <v/>
      </c>
      <c r="F37" s="36" t="str">
        <f>IF($C37="","",$E$4*3.5*'Daily Analysis'!$B$4/200*$C37)</f>
        <v/>
      </c>
      <c r="G37" s="36"/>
      <c r="H37" s="17"/>
    </row>
    <row r="38" spans="1:8" x14ac:dyDescent="0.35">
      <c r="A38" s="37"/>
      <c r="B38" s="45"/>
      <c r="C38" s="40"/>
      <c r="D38" s="45" t="str">
        <f t="shared" si="0"/>
        <v/>
      </c>
      <c r="E38" s="39" t="str">
        <f t="shared" si="1"/>
        <v/>
      </c>
      <c r="F38" s="40" t="str">
        <f>IF($C38="","",$E$4*3.5*'Daily Analysis'!$B$4/200*$C38)</f>
        <v/>
      </c>
      <c r="G38" s="40"/>
      <c r="H38" s="38"/>
    </row>
    <row r="39" spans="1:8" x14ac:dyDescent="0.35">
      <c r="A39" s="23"/>
      <c r="B39" s="44"/>
      <c r="C39" s="36"/>
      <c r="D39" s="44" t="str">
        <f t="shared" si="0"/>
        <v/>
      </c>
      <c r="E39" s="35" t="str">
        <f t="shared" si="1"/>
        <v/>
      </c>
      <c r="F39" s="36" t="str">
        <f>IF($C39="","",$E$4*3.5*'Daily Analysis'!$B$4/200*$C39)</f>
        <v/>
      </c>
      <c r="G39" s="36"/>
      <c r="H39" s="17"/>
    </row>
    <row r="40" spans="1:8" x14ac:dyDescent="0.35">
      <c r="A40" s="37"/>
      <c r="B40" s="45"/>
      <c r="C40" s="40"/>
      <c r="D40" s="45" t="str">
        <f t="shared" si="0"/>
        <v/>
      </c>
      <c r="E40" s="39" t="str">
        <f t="shared" si="1"/>
        <v/>
      </c>
      <c r="F40" s="40" t="str">
        <f>IF($C40="","",$E$4*3.5*'Daily Analysis'!$B$4/200*$C40)</f>
        <v/>
      </c>
      <c r="G40" s="40"/>
      <c r="H40" s="38"/>
    </row>
    <row r="41" spans="1:8" x14ac:dyDescent="0.35">
      <c r="A41" s="23"/>
      <c r="B41" s="44"/>
      <c r="C41" s="36"/>
      <c r="D41" s="44" t="str">
        <f t="shared" si="0"/>
        <v/>
      </c>
      <c r="E41" s="35" t="str">
        <f t="shared" si="1"/>
        <v/>
      </c>
      <c r="F41" s="36" t="str">
        <f>IF($C41="","",$E$4*3.5*'Daily Analysis'!$B$4/200*$C41)</f>
        <v/>
      </c>
      <c r="G41" s="36"/>
      <c r="H41" s="17"/>
    </row>
    <row r="42" spans="1:8" x14ac:dyDescent="0.35">
      <c r="A42" s="37"/>
      <c r="B42" s="45"/>
      <c r="C42" s="40"/>
      <c r="D42" s="45" t="str">
        <f t="shared" si="0"/>
        <v/>
      </c>
      <c r="E42" s="39" t="str">
        <f t="shared" si="1"/>
        <v/>
      </c>
      <c r="F42" s="40" t="str">
        <f>IF($C42="","",$E$4*3.5*'Daily Analysis'!$B$4/200*$C42)</f>
        <v/>
      </c>
      <c r="G42" s="40"/>
      <c r="H42" s="38"/>
    </row>
    <row r="43" spans="1:8" x14ac:dyDescent="0.35">
      <c r="A43" s="23"/>
      <c r="B43" s="44"/>
      <c r="C43" s="36"/>
      <c r="D43" s="44" t="str">
        <f t="shared" si="0"/>
        <v/>
      </c>
      <c r="E43" s="35" t="str">
        <f t="shared" si="1"/>
        <v/>
      </c>
      <c r="F43" s="36" t="str">
        <f>IF($C43="","",$E$4*3.5*'Daily Analysis'!$B$4/200*$C43)</f>
        <v/>
      </c>
      <c r="G43" s="36"/>
      <c r="H43" s="17"/>
    </row>
    <row r="44" spans="1:8" x14ac:dyDescent="0.35">
      <c r="A44" s="37"/>
      <c r="B44" s="45"/>
      <c r="C44" s="40"/>
      <c r="D44" s="45" t="str">
        <f t="shared" si="0"/>
        <v/>
      </c>
      <c r="E44" s="39" t="str">
        <f t="shared" si="1"/>
        <v/>
      </c>
      <c r="F44" s="40" t="str">
        <f>IF($C44="","",$E$4*3.5*'Daily Analysis'!$B$4/200*$C44)</f>
        <v/>
      </c>
      <c r="G44" s="40"/>
      <c r="H44" s="38"/>
    </row>
    <row r="45" spans="1:8" x14ac:dyDescent="0.35">
      <c r="A45" s="23"/>
      <c r="B45" s="44"/>
      <c r="C45" s="36"/>
      <c r="D45" s="44" t="str">
        <f t="shared" ref="D45:D62" si="2">IF(OR($B45="",$C45="",$B45=0),"",$C45/$B45)</f>
        <v/>
      </c>
      <c r="E45" s="35" t="str">
        <f t="shared" ref="E45:E62" si="3">IF(OR($B45="",$C45="",$C45=0),"",$B45/($C45/60))</f>
        <v/>
      </c>
      <c r="F45" s="36" t="str">
        <f>IF($C45="","",$E$4*3.5*'Daily Analysis'!$B$4/200*$C45)</f>
        <v/>
      </c>
      <c r="G45" s="36"/>
      <c r="H45" s="17"/>
    </row>
    <row r="46" spans="1:8" x14ac:dyDescent="0.35">
      <c r="A46" s="37"/>
      <c r="B46" s="45"/>
      <c r="C46" s="40"/>
      <c r="D46" s="45" t="str">
        <f t="shared" si="2"/>
        <v/>
      </c>
      <c r="E46" s="39" t="str">
        <f t="shared" si="3"/>
        <v/>
      </c>
      <c r="F46" s="40" t="str">
        <f>IF($C46="","",$E$4*3.5*'Daily Analysis'!$B$4/200*$C46)</f>
        <v/>
      </c>
      <c r="G46" s="40"/>
      <c r="H46" s="38"/>
    </row>
    <row r="47" spans="1:8" x14ac:dyDescent="0.35">
      <c r="A47" s="23"/>
      <c r="B47" s="44"/>
      <c r="C47" s="36"/>
      <c r="D47" s="44" t="str">
        <f t="shared" si="2"/>
        <v/>
      </c>
      <c r="E47" s="35" t="str">
        <f t="shared" si="3"/>
        <v/>
      </c>
      <c r="F47" s="36" t="str">
        <f>IF($C47="","",$E$4*3.5*'Daily Analysis'!$B$4/200*$C47)</f>
        <v/>
      </c>
      <c r="G47" s="36"/>
      <c r="H47" s="17"/>
    </row>
    <row r="48" spans="1:8" x14ac:dyDescent="0.35">
      <c r="A48" s="37"/>
      <c r="B48" s="45"/>
      <c r="C48" s="40"/>
      <c r="D48" s="45" t="str">
        <f t="shared" si="2"/>
        <v/>
      </c>
      <c r="E48" s="39" t="str">
        <f t="shared" si="3"/>
        <v/>
      </c>
      <c r="F48" s="40" t="str">
        <f>IF($C48="","",$E$4*3.5*'Daily Analysis'!$B$4/200*$C48)</f>
        <v/>
      </c>
      <c r="G48" s="40"/>
      <c r="H48" s="38"/>
    </row>
    <row r="49" spans="1:8" x14ac:dyDescent="0.35">
      <c r="A49" s="23"/>
      <c r="B49" s="44"/>
      <c r="C49" s="36"/>
      <c r="D49" s="44" t="str">
        <f t="shared" si="2"/>
        <v/>
      </c>
      <c r="E49" s="35" t="str">
        <f t="shared" si="3"/>
        <v/>
      </c>
      <c r="F49" s="36" t="str">
        <f>IF($C49="","",$E$4*3.5*'Daily Analysis'!$B$4/200*$C49)</f>
        <v/>
      </c>
      <c r="G49" s="36"/>
      <c r="H49" s="17"/>
    </row>
    <row r="50" spans="1:8" x14ac:dyDescent="0.35">
      <c r="A50" s="37"/>
      <c r="B50" s="45"/>
      <c r="C50" s="40"/>
      <c r="D50" s="45" t="str">
        <f t="shared" si="2"/>
        <v/>
      </c>
      <c r="E50" s="39" t="str">
        <f t="shared" si="3"/>
        <v/>
      </c>
      <c r="F50" s="40" t="str">
        <f>IF($C50="","",$E$4*3.5*'Daily Analysis'!$B$4/200*$C50)</f>
        <v/>
      </c>
      <c r="G50" s="40"/>
      <c r="H50" s="38"/>
    </row>
    <row r="51" spans="1:8" x14ac:dyDescent="0.35">
      <c r="A51" s="23"/>
      <c r="B51" s="44"/>
      <c r="C51" s="36"/>
      <c r="D51" s="44" t="str">
        <f t="shared" si="2"/>
        <v/>
      </c>
      <c r="E51" s="35" t="str">
        <f t="shared" si="3"/>
        <v/>
      </c>
      <c r="F51" s="36" t="str">
        <f>IF($C51="","",$E$4*3.5*'Daily Analysis'!$B$4/200*$C51)</f>
        <v/>
      </c>
      <c r="G51" s="36"/>
      <c r="H51" s="17"/>
    </row>
    <row r="52" spans="1:8" x14ac:dyDescent="0.35">
      <c r="A52" s="37"/>
      <c r="B52" s="45"/>
      <c r="C52" s="40"/>
      <c r="D52" s="45" t="str">
        <f t="shared" si="2"/>
        <v/>
      </c>
      <c r="E52" s="39" t="str">
        <f t="shared" si="3"/>
        <v/>
      </c>
      <c r="F52" s="40" t="str">
        <f>IF($C52="","",$E$4*3.5*'Daily Analysis'!$B$4/200*$C52)</f>
        <v/>
      </c>
      <c r="G52" s="40"/>
      <c r="H52" s="38"/>
    </row>
    <row r="53" spans="1:8" x14ac:dyDescent="0.35">
      <c r="A53" s="23"/>
      <c r="B53" s="44"/>
      <c r="C53" s="36"/>
      <c r="D53" s="44" t="str">
        <f t="shared" si="2"/>
        <v/>
      </c>
      <c r="E53" s="35" t="str">
        <f t="shared" si="3"/>
        <v/>
      </c>
      <c r="F53" s="36" t="str">
        <f>IF($C53="","",$E$4*3.5*'Daily Analysis'!$B$4/200*$C53)</f>
        <v/>
      </c>
      <c r="G53" s="36"/>
      <c r="H53" s="17"/>
    </row>
    <row r="54" spans="1:8" x14ac:dyDescent="0.35">
      <c r="A54" s="37"/>
      <c r="B54" s="45"/>
      <c r="C54" s="40"/>
      <c r="D54" s="45" t="str">
        <f t="shared" si="2"/>
        <v/>
      </c>
      <c r="E54" s="39" t="str">
        <f t="shared" si="3"/>
        <v/>
      </c>
      <c r="F54" s="40" t="str">
        <f>IF($C54="","",$E$4*3.5*'Daily Analysis'!$B$4/200*$C54)</f>
        <v/>
      </c>
      <c r="G54" s="40"/>
      <c r="H54" s="38"/>
    </row>
    <row r="55" spans="1:8" x14ac:dyDescent="0.35">
      <c r="A55" s="23"/>
      <c r="B55" s="44"/>
      <c r="C55" s="36"/>
      <c r="D55" s="44" t="str">
        <f t="shared" si="2"/>
        <v/>
      </c>
      <c r="E55" s="35" t="str">
        <f t="shared" si="3"/>
        <v/>
      </c>
      <c r="F55" s="36" t="str">
        <f>IF($C55="","",$E$4*3.5*'Daily Analysis'!$B$4/200*$C55)</f>
        <v/>
      </c>
      <c r="G55" s="36"/>
      <c r="H55" s="17"/>
    </row>
    <row r="56" spans="1:8" x14ac:dyDescent="0.35">
      <c r="A56" s="37"/>
      <c r="B56" s="45"/>
      <c r="C56" s="40"/>
      <c r="D56" s="45" t="str">
        <f t="shared" si="2"/>
        <v/>
      </c>
      <c r="E56" s="39" t="str">
        <f t="shared" si="3"/>
        <v/>
      </c>
      <c r="F56" s="40" t="str">
        <f>IF($C56="","",$E$4*3.5*'Daily Analysis'!$B$4/200*$C56)</f>
        <v/>
      </c>
      <c r="G56" s="40"/>
      <c r="H56" s="38"/>
    </row>
    <row r="57" spans="1:8" x14ac:dyDescent="0.35">
      <c r="A57" s="23"/>
      <c r="B57" s="44"/>
      <c r="C57" s="36"/>
      <c r="D57" s="44" t="str">
        <f t="shared" si="2"/>
        <v/>
      </c>
      <c r="E57" s="35" t="str">
        <f t="shared" si="3"/>
        <v/>
      </c>
      <c r="F57" s="36" t="str">
        <f>IF($C57="","",$E$4*3.5*'Daily Analysis'!$B$4/200*$C57)</f>
        <v/>
      </c>
      <c r="G57" s="36"/>
      <c r="H57" s="17"/>
    </row>
    <row r="58" spans="1:8" x14ac:dyDescent="0.35">
      <c r="A58" s="37"/>
      <c r="B58" s="45"/>
      <c r="C58" s="40"/>
      <c r="D58" s="45" t="str">
        <f t="shared" si="2"/>
        <v/>
      </c>
      <c r="E58" s="39" t="str">
        <f t="shared" si="3"/>
        <v/>
      </c>
      <c r="F58" s="40" t="str">
        <f>IF($C58="","",$E$4*3.5*'Daily Analysis'!$B$4/200*$C58)</f>
        <v/>
      </c>
      <c r="G58" s="40"/>
      <c r="H58" s="38"/>
    </row>
    <row r="59" spans="1:8" x14ac:dyDescent="0.35">
      <c r="A59" s="23"/>
      <c r="B59" s="44"/>
      <c r="C59" s="36"/>
      <c r="D59" s="44" t="str">
        <f t="shared" si="2"/>
        <v/>
      </c>
      <c r="E59" s="35" t="str">
        <f t="shared" si="3"/>
        <v/>
      </c>
      <c r="F59" s="36" t="str">
        <f>IF($C59="","",$E$4*3.5*'Daily Analysis'!$B$4/200*$C59)</f>
        <v/>
      </c>
      <c r="G59" s="36"/>
      <c r="H59" s="17"/>
    </row>
    <row r="60" spans="1:8" x14ac:dyDescent="0.35">
      <c r="A60" s="37"/>
      <c r="B60" s="45"/>
      <c r="C60" s="40"/>
      <c r="D60" s="45" t="str">
        <f t="shared" si="2"/>
        <v/>
      </c>
      <c r="E60" s="39" t="str">
        <f t="shared" si="3"/>
        <v/>
      </c>
      <c r="F60" s="40" t="str">
        <f>IF($C60="","",$E$4*3.5*'Daily Analysis'!$B$4/200*$C60)</f>
        <v/>
      </c>
      <c r="G60" s="40"/>
      <c r="H60" s="38"/>
    </row>
    <row r="61" spans="1:8" x14ac:dyDescent="0.35">
      <c r="A61" s="23"/>
      <c r="B61" s="44"/>
      <c r="C61" s="36"/>
      <c r="D61" s="44" t="str">
        <f t="shared" si="2"/>
        <v/>
      </c>
      <c r="E61" s="35" t="str">
        <f t="shared" si="3"/>
        <v/>
      </c>
      <c r="F61" s="36" t="str">
        <f>IF($C61="","",$E$4*3.5*'Daily Analysis'!$B$4/200*$C61)</f>
        <v/>
      </c>
      <c r="G61" s="36"/>
      <c r="H61" s="17"/>
    </row>
    <row r="62" spans="1:8" x14ac:dyDescent="0.35">
      <c r="A62" s="37"/>
      <c r="B62" s="45"/>
      <c r="C62" s="40"/>
      <c r="D62" s="45" t="str">
        <f t="shared" si="2"/>
        <v/>
      </c>
      <c r="E62" s="39" t="str">
        <f t="shared" si="3"/>
        <v/>
      </c>
      <c r="F62" s="40" t="str">
        <f>IF($C62="","",$E$4*3.5*'Daily Analysis'!$B$4/200*$C62)</f>
        <v/>
      </c>
      <c r="G62" s="40"/>
      <c r="H62" s="38"/>
    </row>
  </sheetData>
  <mergeCells count="2">
    <mergeCell ref="A1:H1"/>
    <mergeCell ref="A2:H2"/>
  </mergeCells>
  <dataValidations count="1">
    <dataValidation type="whole" allowBlank="1" sqref="G13:G62" xr:uid="{00000000-0002-0000-0300-000000000000}">
      <formula1>1</formula1>
      <formula2>10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2"/>
  <sheetViews>
    <sheetView zoomScaleNormal="100" workbookViewId="0">
      <pane ySplit="12" topLeftCell="A13" activePane="bottomLeft" state="frozen"/>
      <selection pane="bottomLeft" activeCell="I13" sqref="I13"/>
    </sheetView>
  </sheetViews>
  <sheetFormatPr defaultColWidth="8.6328125" defaultRowHeight="14.5" x14ac:dyDescent="0.35"/>
  <cols>
    <col min="1" max="1" width="13" customWidth="1"/>
    <col min="2" max="7" width="11" customWidth="1"/>
    <col min="8" max="8" width="18" customWidth="1"/>
  </cols>
  <sheetData>
    <row r="1" spans="1:8" ht="30" customHeight="1" x14ac:dyDescent="0.35">
      <c r="A1" s="5" t="s">
        <v>67</v>
      </c>
      <c r="B1" s="5"/>
      <c r="C1" s="5"/>
      <c r="D1" s="5"/>
      <c r="E1" s="5"/>
      <c r="F1" s="5"/>
      <c r="G1" s="5"/>
      <c r="H1" s="5"/>
    </row>
    <row r="2" spans="1:8" x14ac:dyDescent="0.35">
      <c r="A2" s="9" t="s">
        <v>32</v>
      </c>
      <c r="B2" s="9"/>
      <c r="C2" s="9"/>
      <c r="D2" s="9"/>
      <c r="E2" s="9"/>
      <c r="F2" s="9"/>
      <c r="G2" s="9"/>
      <c r="H2" s="9"/>
    </row>
    <row r="4" spans="1:8" x14ac:dyDescent="0.35">
      <c r="A4" s="11" t="s">
        <v>33</v>
      </c>
      <c r="D4" s="12" t="s">
        <v>68</v>
      </c>
      <c r="E4" s="13">
        <v>3.5</v>
      </c>
    </row>
    <row r="5" spans="1:8" x14ac:dyDescent="0.35">
      <c r="A5" s="12" t="s">
        <v>13</v>
      </c>
      <c r="B5" s="15">
        <f>COUNT(A13:A62)</f>
        <v>0</v>
      </c>
      <c r="D5" s="12" t="s">
        <v>69</v>
      </c>
      <c r="E5" s="15">
        <f>SUM(G13:G62)</f>
        <v>0</v>
      </c>
    </row>
    <row r="6" spans="1:8" x14ac:dyDescent="0.35">
      <c r="A6" s="12" t="s">
        <v>61</v>
      </c>
      <c r="B6" s="33">
        <f>SUM(B13:B62)</f>
        <v>0</v>
      </c>
      <c r="D6" s="12" t="s">
        <v>70</v>
      </c>
      <c r="E6" s="33" t="str">
        <f>IF(COUNT(B13:B62)=0,"",MAX(B13:B62))</f>
        <v/>
      </c>
    </row>
    <row r="7" spans="1:8" x14ac:dyDescent="0.35">
      <c r="A7" s="12" t="s">
        <v>36</v>
      </c>
      <c r="B7" s="31">
        <f>ROUND(SUM(F13:F62),0)</f>
        <v>0</v>
      </c>
      <c r="D7" s="12" t="s">
        <v>63</v>
      </c>
      <c r="E7" s="33" t="str">
        <f>IF(COUNT(D13:D62)=0,"",AVERAGE(D13:D62))</f>
        <v/>
      </c>
    </row>
    <row r="12" spans="1:8" ht="30" customHeight="1" x14ac:dyDescent="0.35">
      <c r="A12" s="46" t="s">
        <v>27</v>
      </c>
      <c r="B12" s="46" t="s">
        <v>64</v>
      </c>
      <c r="C12" s="46" t="s">
        <v>50</v>
      </c>
      <c r="D12" s="46" t="s">
        <v>66</v>
      </c>
      <c r="E12" s="46" t="s">
        <v>65</v>
      </c>
      <c r="F12" s="46" t="s">
        <v>51</v>
      </c>
      <c r="G12" s="46" t="s">
        <v>71</v>
      </c>
      <c r="H12" s="46" t="s">
        <v>53</v>
      </c>
    </row>
    <row r="13" spans="1:8" x14ac:dyDescent="0.35">
      <c r="A13" s="47"/>
      <c r="B13" s="48"/>
      <c r="C13" s="49"/>
      <c r="D13" s="35" t="str">
        <f t="shared" ref="D13:D44" si="0">IF(OR($B13="",$C13="",$C13=0),"",$B13/($C13/60))</f>
        <v/>
      </c>
      <c r="E13" s="44" t="str">
        <f t="shared" ref="E13:E44" si="1">IF(OR($B13="",$C13="",$B13=0),"",$C13/$B13)</f>
        <v/>
      </c>
      <c r="F13" s="36" t="str">
        <f>IF($C13="","",$E$4*3.5*'Daily Analysis'!$B$4/200*$C13)</f>
        <v/>
      </c>
      <c r="G13" s="36"/>
      <c r="H13" s="50"/>
    </row>
    <row r="14" spans="1:8" x14ac:dyDescent="0.35">
      <c r="A14" s="37"/>
      <c r="B14" s="45"/>
      <c r="C14" s="40"/>
      <c r="D14" s="39" t="str">
        <f t="shared" si="0"/>
        <v/>
      </c>
      <c r="E14" s="45" t="str">
        <f t="shared" si="1"/>
        <v/>
      </c>
      <c r="F14" s="40" t="str">
        <f>IF($C14="","",$E$4*3.5*'Daily Analysis'!$B$4/200*$C14)</f>
        <v/>
      </c>
      <c r="G14" s="40"/>
      <c r="H14" s="38"/>
    </row>
    <row r="15" spans="1:8" x14ac:dyDescent="0.35">
      <c r="A15" s="23"/>
      <c r="B15" s="44"/>
      <c r="C15" s="36"/>
      <c r="D15" s="35" t="str">
        <f t="shared" si="0"/>
        <v/>
      </c>
      <c r="E15" s="44" t="str">
        <f t="shared" si="1"/>
        <v/>
      </c>
      <c r="F15" s="36" t="str">
        <f>IF($C15="","",$E$4*3.5*'Daily Analysis'!$B$4/200*$C15)</f>
        <v/>
      </c>
      <c r="G15" s="36"/>
      <c r="H15" s="17"/>
    </row>
    <row r="16" spans="1:8" x14ac:dyDescent="0.35">
      <c r="A16" s="37"/>
      <c r="B16" s="45"/>
      <c r="C16" s="40"/>
      <c r="D16" s="39" t="str">
        <f t="shared" si="0"/>
        <v/>
      </c>
      <c r="E16" s="45" t="str">
        <f t="shared" si="1"/>
        <v/>
      </c>
      <c r="F16" s="40" t="str">
        <f>IF($C16="","",$E$4*3.5*'Daily Analysis'!$B$4/200*$C16)</f>
        <v/>
      </c>
      <c r="G16" s="40"/>
      <c r="H16" s="38"/>
    </row>
    <row r="17" spans="1:8" x14ac:dyDescent="0.35">
      <c r="A17" s="23"/>
      <c r="B17" s="44"/>
      <c r="C17" s="36"/>
      <c r="D17" s="35" t="str">
        <f t="shared" si="0"/>
        <v/>
      </c>
      <c r="E17" s="44" t="str">
        <f t="shared" si="1"/>
        <v/>
      </c>
      <c r="F17" s="36" t="str">
        <f>IF($C17="","",$E$4*3.5*'Daily Analysis'!$B$4/200*$C17)</f>
        <v/>
      </c>
      <c r="G17" s="36"/>
      <c r="H17" s="17"/>
    </row>
    <row r="18" spans="1:8" x14ac:dyDescent="0.35">
      <c r="A18" s="37"/>
      <c r="B18" s="45"/>
      <c r="C18" s="40"/>
      <c r="D18" s="39" t="str">
        <f t="shared" si="0"/>
        <v/>
      </c>
      <c r="E18" s="45" t="str">
        <f t="shared" si="1"/>
        <v/>
      </c>
      <c r="F18" s="40" t="str">
        <f>IF($C18="","",$E$4*3.5*'Daily Analysis'!$B$4/200*$C18)</f>
        <v/>
      </c>
      <c r="G18" s="40"/>
      <c r="H18" s="38"/>
    </row>
    <row r="19" spans="1:8" x14ac:dyDescent="0.35">
      <c r="A19" s="23"/>
      <c r="B19" s="44"/>
      <c r="C19" s="36"/>
      <c r="D19" s="35" t="str">
        <f t="shared" si="0"/>
        <v/>
      </c>
      <c r="E19" s="44" t="str">
        <f t="shared" si="1"/>
        <v/>
      </c>
      <c r="F19" s="36" t="str">
        <f>IF($C19="","",$E$4*3.5*'Daily Analysis'!$B$4/200*$C19)</f>
        <v/>
      </c>
      <c r="G19" s="36"/>
      <c r="H19" s="17"/>
    </row>
    <row r="20" spans="1:8" x14ac:dyDescent="0.35">
      <c r="A20" s="37"/>
      <c r="B20" s="45"/>
      <c r="C20" s="40"/>
      <c r="D20" s="39" t="str">
        <f t="shared" si="0"/>
        <v/>
      </c>
      <c r="E20" s="45" t="str">
        <f t="shared" si="1"/>
        <v/>
      </c>
      <c r="F20" s="40" t="str">
        <f>IF($C20="","",$E$4*3.5*'Daily Analysis'!$B$4/200*$C20)</f>
        <v/>
      </c>
      <c r="G20" s="40"/>
      <c r="H20" s="38"/>
    </row>
    <row r="21" spans="1:8" x14ac:dyDescent="0.35">
      <c r="A21" s="23"/>
      <c r="B21" s="44"/>
      <c r="C21" s="36"/>
      <c r="D21" s="35" t="str">
        <f t="shared" si="0"/>
        <v/>
      </c>
      <c r="E21" s="44" t="str">
        <f t="shared" si="1"/>
        <v/>
      </c>
      <c r="F21" s="36" t="str">
        <f>IF($C21="","",$E$4*3.5*'Daily Analysis'!$B$4/200*$C21)</f>
        <v/>
      </c>
      <c r="G21" s="36"/>
      <c r="H21" s="17"/>
    </row>
    <row r="22" spans="1:8" x14ac:dyDescent="0.35">
      <c r="A22" s="37"/>
      <c r="B22" s="45"/>
      <c r="C22" s="40"/>
      <c r="D22" s="39" t="str">
        <f t="shared" si="0"/>
        <v/>
      </c>
      <c r="E22" s="45" t="str">
        <f t="shared" si="1"/>
        <v/>
      </c>
      <c r="F22" s="40" t="str">
        <f>IF($C22="","",$E$4*3.5*'Daily Analysis'!$B$4/200*$C22)</f>
        <v/>
      </c>
      <c r="G22" s="40"/>
      <c r="H22" s="38"/>
    </row>
    <row r="23" spans="1:8" x14ac:dyDescent="0.35">
      <c r="A23" s="23"/>
      <c r="B23" s="44"/>
      <c r="C23" s="36"/>
      <c r="D23" s="35" t="str">
        <f t="shared" si="0"/>
        <v/>
      </c>
      <c r="E23" s="44" t="str">
        <f t="shared" si="1"/>
        <v/>
      </c>
      <c r="F23" s="36" t="str">
        <f>IF($C23="","",$E$4*3.5*'Daily Analysis'!$B$4/200*$C23)</f>
        <v/>
      </c>
      <c r="G23" s="36"/>
      <c r="H23" s="17"/>
    </row>
    <row r="24" spans="1:8" x14ac:dyDescent="0.35">
      <c r="A24" s="37"/>
      <c r="B24" s="45"/>
      <c r="C24" s="40"/>
      <c r="D24" s="39" t="str">
        <f t="shared" si="0"/>
        <v/>
      </c>
      <c r="E24" s="45" t="str">
        <f t="shared" si="1"/>
        <v/>
      </c>
      <c r="F24" s="40" t="str">
        <f>IF($C24="","",$E$4*3.5*'Daily Analysis'!$B$4/200*$C24)</f>
        <v/>
      </c>
      <c r="G24" s="40"/>
      <c r="H24" s="38"/>
    </row>
    <row r="25" spans="1:8" x14ac:dyDescent="0.35">
      <c r="A25" s="23"/>
      <c r="B25" s="44"/>
      <c r="C25" s="36"/>
      <c r="D25" s="35" t="str">
        <f t="shared" si="0"/>
        <v/>
      </c>
      <c r="E25" s="44" t="str">
        <f t="shared" si="1"/>
        <v/>
      </c>
      <c r="F25" s="36" t="str">
        <f>IF($C25="","",$E$4*3.5*'Daily Analysis'!$B$4/200*$C25)</f>
        <v/>
      </c>
      <c r="G25" s="36"/>
      <c r="H25" s="17"/>
    </row>
    <row r="26" spans="1:8" x14ac:dyDescent="0.35">
      <c r="A26" s="37"/>
      <c r="B26" s="45"/>
      <c r="C26" s="40"/>
      <c r="D26" s="39" t="str">
        <f t="shared" si="0"/>
        <v/>
      </c>
      <c r="E26" s="45" t="str">
        <f t="shared" si="1"/>
        <v/>
      </c>
      <c r="F26" s="40" t="str">
        <f>IF($C26="","",$E$4*3.5*'Daily Analysis'!$B$4/200*$C26)</f>
        <v/>
      </c>
      <c r="G26" s="40"/>
      <c r="H26" s="38"/>
    </row>
    <row r="27" spans="1:8" x14ac:dyDescent="0.35">
      <c r="A27" s="23"/>
      <c r="B27" s="44"/>
      <c r="C27" s="36"/>
      <c r="D27" s="35" t="str">
        <f t="shared" si="0"/>
        <v/>
      </c>
      <c r="E27" s="44" t="str">
        <f t="shared" si="1"/>
        <v/>
      </c>
      <c r="F27" s="36" t="str">
        <f>IF($C27="","",$E$4*3.5*'Daily Analysis'!$B$4/200*$C27)</f>
        <v/>
      </c>
      <c r="G27" s="36"/>
      <c r="H27" s="17"/>
    </row>
    <row r="28" spans="1:8" x14ac:dyDescent="0.35">
      <c r="A28" s="37"/>
      <c r="B28" s="45"/>
      <c r="C28" s="40"/>
      <c r="D28" s="39" t="str">
        <f t="shared" si="0"/>
        <v/>
      </c>
      <c r="E28" s="45" t="str">
        <f t="shared" si="1"/>
        <v/>
      </c>
      <c r="F28" s="40" t="str">
        <f>IF($C28="","",$E$4*3.5*'Daily Analysis'!$B$4/200*$C28)</f>
        <v/>
      </c>
      <c r="G28" s="40"/>
      <c r="H28" s="38"/>
    </row>
    <row r="29" spans="1:8" x14ac:dyDescent="0.35">
      <c r="A29" s="23"/>
      <c r="B29" s="44"/>
      <c r="C29" s="36"/>
      <c r="D29" s="35" t="str">
        <f t="shared" si="0"/>
        <v/>
      </c>
      <c r="E29" s="44" t="str">
        <f t="shared" si="1"/>
        <v/>
      </c>
      <c r="F29" s="36" t="str">
        <f>IF($C29="","",$E$4*3.5*'Daily Analysis'!$B$4/200*$C29)</f>
        <v/>
      </c>
      <c r="G29" s="36"/>
      <c r="H29" s="17"/>
    </row>
    <row r="30" spans="1:8" x14ac:dyDescent="0.35">
      <c r="A30" s="37"/>
      <c r="B30" s="45"/>
      <c r="C30" s="40"/>
      <c r="D30" s="39" t="str">
        <f t="shared" si="0"/>
        <v/>
      </c>
      <c r="E30" s="45" t="str">
        <f t="shared" si="1"/>
        <v/>
      </c>
      <c r="F30" s="40" t="str">
        <f>IF($C30="","",$E$4*3.5*'Daily Analysis'!$B$4/200*$C30)</f>
        <v/>
      </c>
      <c r="G30" s="40"/>
      <c r="H30" s="38"/>
    </row>
    <row r="31" spans="1:8" x14ac:dyDescent="0.35">
      <c r="A31" s="23"/>
      <c r="B31" s="44"/>
      <c r="C31" s="36"/>
      <c r="D31" s="35" t="str">
        <f t="shared" si="0"/>
        <v/>
      </c>
      <c r="E31" s="44" t="str">
        <f t="shared" si="1"/>
        <v/>
      </c>
      <c r="F31" s="36" t="str">
        <f>IF($C31="","",$E$4*3.5*'Daily Analysis'!$B$4/200*$C31)</f>
        <v/>
      </c>
      <c r="G31" s="36"/>
      <c r="H31" s="17"/>
    </row>
    <row r="32" spans="1:8" x14ac:dyDescent="0.35">
      <c r="A32" s="37"/>
      <c r="B32" s="45"/>
      <c r="C32" s="40"/>
      <c r="D32" s="39" t="str">
        <f t="shared" si="0"/>
        <v/>
      </c>
      <c r="E32" s="45" t="str">
        <f t="shared" si="1"/>
        <v/>
      </c>
      <c r="F32" s="40" t="str">
        <f>IF($C32="","",$E$4*3.5*'Daily Analysis'!$B$4/200*$C32)</f>
        <v/>
      </c>
      <c r="G32" s="40"/>
      <c r="H32" s="38"/>
    </row>
    <row r="33" spans="1:8" x14ac:dyDescent="0.35">
      <c r="A33" s="23"/>
      <c r="B33" s="44"/>
      <c r="C33" s="36"/>
      <c r="D33" s="35" t="str">
        <f t="shared" si="0"/>
        <v/>
      </c>
      <c r="E33" s="44" t="str">
        <f t="shared" si="1"/>
        <v/>
      </c>
      <c r="F33" s="36" t="str">
        <f>IF($C33="","",$E$4*3.5*'Daily Analysis'!$B$4/200*$C33)</f>
        <v/>
      </c>
      <c r="G33" s="36"/>
      <c r="H33" s="17"/>
    </row>
    <row r="34" spans="1:8" x14ac:dyDescent="0.35">
      <c r="A34" s="37"/>
      <c r="B34" s="45"/>
      <c r="C34" s="40"/>
      <c r="D34" s="39" t="str">
        <f t="shared" si="0"/>
        <v/>
      </c>
      <c r="E34" s="45" t="str">
        <f t="shared" si="1"/>
        <v/>
      </c>
      <c r="F34" s="40" t="str">
        <f>IF($C34="","",$E$4*3.5*'Daily Analysis'!$B$4/200*$C34)</f>
        <v/>
      </c>
      <c r="G34" s="40"/>
      <c r="H34" s="38"/>
    </row>
    <row r="35" spans="1:8" x14ac:dyDescent="0.35">
      <c r="A35" s="23"/>
      <c r="B35" s="44"/>
      <c r="C35" s="36"/>
      <c r="D35" s="35" t="str">
        <f t="shared" si="0"/>
        <v/>
      </c>
      <c r="E35" s="44" t="str">
        <f t="shared" si="1"/>
        <v/>
      </c>
      <c r="F35" s="36" t="str">
        <f>IF($C35="","",$E$4*3.5*'Daily Analysis'!$B$4/200*$C35)</f>
        <v/>
      </c>
      <c r="G35" s="36"/>
      <c r="H35" s="17"/>
    </row>
    <row r="36" spans="1:8" x14ac:dyDescent="0.35">
      <c r="A36" s="37"/>
      <c r="B36" s="45"/>
      <c r="C36" s="40"/>
      <c r="D36" s="39" t="str">
        <f t="shared" si="0"/>
        <v/>
      </c>
      <c r="E36" s="45" t="str">
        <f t="shared" si="1"/>
        <v/>
      </c>
      <c r="F36" s="40" t="str">
        <f>IF($C36="","",$E$4*3.5*'Daily Analysis'!$B$4/200*$C36)</f>
        <v/>
      </c>
      <c r="G36" s="40"/>
      <c r="H36" s="38"/>
    </row>
    <row r="37" spans="1:8" x14ac:dyDescent="0.35">
      <c r="A37" s="23"/>
      <c r="B37" s="44"/>
      <c r="C37" s="36"/>
      <c r="D37" s="35" t="str">
        <f t="shared" si="0"/>
        <v/>
      </c>
      <c r="E37" s="44" t="str">
        <f t="shared" si="1"/>
        <v/>
      </c>
      <c r="F37" s="36" t="str">
        <f>IF($C37="","",$E$4*3.5*'Daily Analysis'!$B$4/200*$C37)</f>
        <v/>
      </c>
      <c r="G37" s="36"/>
      <c r="H37" s="17"/>
    </row>
    <row r="38" spans="1:8" x14ac:dyDescent="0.35">
      <c r="A38" s="37"/>
      <c r="B38" s="45"/>
      <c r="C38" s="40"/>
      <c r="D38" s="39" t="str">
        <f t="shared" si="0"/>
        <v/>
      </c>
      <c r="E38" s="45" t="str">
        <f t="shared" si="1"/>
        <v/>
      </c>
      <c r="F38" s="40" t="str">
        <f>IF($C38="","",$E$4*3.5*'Daily Analysis'!$B$4/200*$C38)</f>
        <v/>
      </c>
      <c r="G38" s="40"/>
      <c r="H38" s="38"/>
    </row>
    <row r="39" spans="1:8" x14ac:dyDescent="0.35">
      <c r="A39" s="23"/>
      <c r="B39" s="44"/>
      <c r="C39" s="36"/>
      <c r="D39" s="35" t="str">
        <f t="shared" si="0"/>
        <v/>
      </c>
      <c r="E39" s="44" t="str">
        <f t="shared" si="1"/>
        <v/>
      </c>
      <c r="F39" s="36" t="str">
        <f>IF($C39="","",$E$4*3.5*'Daily Analysis'!$B$4/200*$C39)</f>
        <v/>
      </c>
      <c r="G39" s="36"/>
      <c r="H39" s="17"/>
    </row>
    <row r="40" spans="1:8" x14ac:dyDescent="0.35">
      <c r="A40" s="37"/>
      <c r="B40" s="45"/>
      <c r="C40" s="40"/>
      <c r="D40" s="39" t="str">
        <f t="shared" si="0"/>
        <v/>
      </c>
      <c r="E40" s="45" t="str">
        <f t="shared" si="1"/>
        <v/>
      </c>
      <c r="F40" s="40" t="str">
        <f>IF($C40="","",$E$4*3.5*'Daily Analysis'!$B$4/200*$C40)</f>
        <v/>
      </c>
      <c r="G40" s="40"/>
      <c r="H40" s="38"/>
    </row>
    <row r="41" spans="1:8" x14ac:dyDescent="0.35">
      <c r="A41" s="23"/>
      <c r="B41" s="44"/>
      <c r="C41" s="36"/>
      <c r="D41" s="35" t="str">
        <f t="shared" si="0"/>
        <v/>
      </c>
      <c r="E41" s="44" t="str">
        <f t="shared" si="1"/>
        <v/>
      </c>
      <c r="F41" s="36" t="str">
        <f>IF($C41="","",$E$4*3.5*'Daily Analysis'!$B$4/200*$C41)</f>
        <v/>
      </c>
      <c r="G41" s="36"/>
      <c r="H41" s="17"/>
    </row>
    <row r="42" spans="1:8" x14ac:dyDescent="0.35">
      <c r="A42" s="37"/>
      <c r="B42" s="45"/>
      <c r="C42" s="40"/>
      <c r="D42" s="39" t="str">
        <f t="shared" si="0"/>
        <v/>
      </c>
      <c r="E42" s="45" t="str">
        <f t="shared" si="1"/>
        <v/>
      </c>
      <c r="F42" s="40" t="str">
        <f>IF($C42="","",$E$4*3.5*'Daily Analysis'!$B$4/200*$C42)</f>
        <v/>
      </c>
      <c r="G42" s="40"/>
      <c r="H42" s="38"/>
    </row>
    <row r="43" spans="1:8" x14ac:dyDescent="0.35">
      <c r="A43" s="23"/>
      <c r="B43" s="44"/>
      <c r="C43" s="36"/>
      <c r="D43" s="35" t="str">
        <f t="shared" si="0"/>
        <v/>
      </c>
      <c r="E43" s="44" t="str">
        <f t="shared" si="1"/>
        <v/>
      </c>
      <c r="F43" s="36" t="str">
        <f>IF($C43="","",$E$4*3.5*'Daily Analysis'!$B$4/200*$C43)</f>
        <v/>
      </c>
      <c r="G43" s="36"/>
      <c r="H43" s="17"/>
    </row>
    <row r="44" spans="1:8" x14ac:dyDescent="0.35">
      <c r="A44" s="37"/>
      <c r="B44" s="45"/>
      <c r="C44" s="40"/>
      <c r="D44" s="39" t="str">
        <f t="shared" si="0"/>
        <v/>
      </c>
      <c r="E44" s="45" t="str">
        <f t="shared" si="1"/>
        <v/>
      </c>
      <c r="F44" s="40" t="str">
        <f>IF($C44="","",$E$4*3.5*'Daily Analysis'!$B$4/200*$C44)</f>
        <v/>
      </c>
      <c r="G44" s="40"/>
      <c r="H44" s="38"/>
    </row>
    <row r="45" spans="1:8" x14ac:dyDescent="0.35">
      <c r="A45" s="23"/>
      <c r="B45" s="44"/>
      <c r="C45" s="36"/>
      <c r="D45" s="35" t="str">
        <f t="shared" ref="D45:D62" si="2">IF(OR($B45="",$C45="",$C45=0),"",$B45/($C45/60))</f>
        <v/>
      </c>
      <c r="E45" s="44" t="str">
        <f t="shared" ref="E45:E62" si="3">IF(OR($B45="",$C45="",$B45=0),"",$C45/$B45)</f>
        <v/>
      </c>
      <c r="F45" s="36" t="str">
        <f>IF($C45="","",$E$4*3.5*'Daily Analysis'!$B$4/200*$C45)</f>
        <v/>
      </c>
      <c r="G45" s="36"/>
      <c r="H45" s="17"/>
    </row>
    <row r="46" spans="1:8" x14ac:dyDescent="0.35">
      <c r="A46" s="37"/>
      <c r="B46" s="45"/>
      <c r="C46" s="40"/>
      <c r="D46" s="39" t="str">
        <f t="shared" si="2"/>
        <v/>
      </c>
      <c r="E46" s="45" t="str">
        <f t="shared" si="3"/>
        <v/>
      </c>
      <c r="F46" s="40" t="str">
        <f>IF($C46="","",$E$4*3.5*'Daily Analysis'!$B$4/200*$C46)</f>
        <v/>
      </c>
      <c r="G46" s="40"/>
      <c r="H46" s="38"/>
    </row>
    <row r="47" spans="1:8" x14ac:dyDescent="0.35">
      <c r="A47" s="23"/>
      <c r="B47" s="44"/>
      <c r="C47" s="36"/>
      <c r="D47" s="35" t="str">
        <f t="shared" si="2"/>
        <v/>
      </c>
      <c r="E47" s="44" t="str">
        <f t="shared" si="3"/>
        <v/>
      </c>
      <c r="F47" s="36" t="str">
        <f>IF($C47="","",$E$4*3.5*'Daily Analysis'!$B$4/200*$C47)</f>
        <v/>
      </c>
      <c r="G47" s="36"/>
      <c r="H47" s="17"/>
    </row>
    <row r="48" spans="1:8" x14ac:dyDescent="0.35">
      <c r="A48" s="37"/>
      <c r="B48" s="45"/>
      <c r="C48" s="40"/>
      <c r="D48" s="39" t="str">
        <f t="shared" si="2"/>
        <v/>
      </c>
      <c r="E48" s="45" t="str">
        <f t="shared" si="3"/>
        <v/>
      </c>
      <c r="F48" s="40" t="str">
        <f>IF($C48="","",$E$4*3.5*'Daily Analysis'!$B$4/200*$C48)</f>
        <v/>
      </c>
      <c r="G48" s="40"/>
      <c r="H48" s="38"/>
    </row>
    <row r="49" spans="1:8" x14ac:dyDescent="0.35">
      <c r="A49" s="23"/>
      <c r="B49" s="44"/>
      <c r="C49" s="36"/>
      <c r="D49" s="35" t="str">
        <f t="shared" si="2"/>
        <v/>
      </c>
      <c r="E49" s="44" t="str">
        <f t="shared" si="3"/>
        <v/>
      </c>
      <c r="F49" s="36" t="str">
        <f>IF($C49="","",$E$4*3.5*'Daily Analysis'!$B$4/200*$C49)</f>
        <v/>
      </c>
      <c r="G49" s="36"/>
      <c r="H49" s="17"/>
    </row>
    <row r="50" spans="1:8" x14ac:dyDescent="0.35">
      <c r="A50" s="37"/>
      <c r="B50" s="45"/>
      <c r="C50" s="40"/>
      <c r="D50" s="39" t="str">
        <f t="shared" si="2"/>
        <v/>
      </c>
      <c r="E50" s="45" t="str">
        <f t="shared" si="3"/>
        <v/>
      </c>
      <c r="F50" s="40" t="str">
        <f>IF($C50="","",$E$4*3.5*'Daily Analysis'!$B$4/200*$C50)</f>
        <v/>
      </c>
      <c r="G50" s="40"/>
      <c r="H50" s="38"/>
    </row>
    <row r="51" spans="1:8" x14ac:dyDescent="0.35">
      <c r="A51" s="23"/>
      <c r="B51" s="44"/>
      <c r="C51" s="36"/>
      <c r="D51" s="35" t="str">
        <f t="shared" si="2"/>
        <v/>
      </c>
      <c r="E51" s="44" t="str">
        <f t="shared" si="3"/>
        <v/>
      </c>
      <c r="F51" s="36" t="str">
        <f>IF($C51="","",$E$4*3.5*'Daily Analysis'!$B$4/200*$C51)</f>
        <v/>
      </c>
      <c r="G51" s="36"/>
      <c r="H51" s="17"/>
    </row>
    <row r="52" spans="1:8" x14ac:dyDescent="0.35">
      <c r="A52" s="37"/>
      <c r="B52" s="45"/>
      <c r="C52" s="40"/>
      <c r="D52" s="39" t="str">
        <f t="shared" si="2"/>
        <v/>
      </c>
      <c r="E52" s="45" t="str">
        <f t="shared" si="3"/>
        <v/>
      </c>
      <c r="F52" s="40" t="str">
        <f>IF($C52="","",$E$4*3.5*'Daily Analysis'!$B$4/200*$C52)</f>
        <v/>
      </c>
      <c r="G52" s="40"/>
      <c r="H52" s="38"/>
    </row>
    <row r="53" spans="1:8" x14ac:dyDescent="0.35">
      <c r="A53" s="23"/>
      <c r="B53" s="44"/>
      <c r="C53" s="36"/>
      <c r="D53" s="35" t="str">
        <f t="shared" si="2"/>
        <v/>
      </c>
      <c r="E53" s="44" t="str">
        <f t="shared" si="3"/>
        <v/>
      </c>
      <c r="F53" s="36" t="str">
        <f>IF($C53="","",$E$4*3.5*'Daily Analysis'!$B$4/200*$C53)</f>
        <v/>
      </c>
      <c r="G53" s="36"/>
      <c r="H53" s="17"/>
    </row>
    <row r="54" spans="1:8" x14ac:dyDescent="0.35">
      <c r="A54" s="37"/>
      <c r="B54" s="45"/>
      <c r="C54" s="40"/>
      <c r="D54" s="39" t="str">
        <f t="shared" si="2"/>
        <v/>
      </c>
      <c r="E54" s="45" t="str">
        <f t="shared" si="3"/>
        <v/>
      </c>
      <c r="F54" s="40" t="str">
        <f>IF($C54="","",$E$4*3.5*'Daily Analysis'!$B$4/200*$C54)</f>
        <v/>
      </c>
      <c r="G54" s="40"/>
      <c r="H54" s="38"/>
    </row>
    <row r="55" spans="1:8" x14ac:dyDescent="0.35">
      <c r="A55" s="23"/>
      <c r="B55" s="44"/>
      <c r="C55" s="36"/>
      <c r="D55" s="35" t="str">
        <f t="shared" si="2"/>
        <v/>
      </c>
      <c r="E55" s="44" t="str">
        <f t="shared" si="3"/>
        <v/>
      </c>
      <c r="F55" s="36" t="str">
        <f>IF($C55="","",$E$4*3.5*'Daily Analysis'!$B$4/200*$C55)</f>
        <v/>
      </c>
      <c r="G55" s="36"/>
      <c r="H55" s="17"/>
    </row>
    <row r="56" spans="1:8" x14ac:dyDescent="0.35">
      <c r="A56" s="37"/>
      <c r="B56" s="45"/>
      <c r="C56" s="40"/>
      <c r="D56" s="39" t="str">
        <f t="shared" si="2"/>
        <v/>
      </c>
      <c r="E56" s="45" t="str">
        <f t="shared" si="3"/>
        <v/>
      </c>
      <c r="F56" s="40" t="str">
        <f>IF($C56="","",$E$4*3.5*'Daily Analysis'!$B$4/200*$C56)</f>
        <v/>
      </c>
      <c r="G56" s="40"/>
      <c r="H56" s="38"/>
    </row>
    <row r="57" spans="1:8" x14ac:dyDescent="0.35">
      <c r="A57" s="23"/>
      <c r="B57" s="44"/>
      <c r="C57" s="36"/>
      <c r="D57" s="35" t="str">
        <f t="shared" si="2"/>
        <v/>
      </c>
      <c r="E57" s="44" t="str">
        <f t="shared" si="3"/>
        <v/>
      </c>
      <c r="F57" s="36" t="str">
        <f>IF($C57="","",$E$4*3.5*'Daily Analysis'!$B$4/200*$C57)</f>
        <v/>
      </c>
      <c r="G57" s="36"/>
      <c r="H57" s="17"/>
    </row>
    <row r="58" spans="1:8" x14ac:dyDescent="0.35">
      <c r="A58" s="37"/>
      <c r="B58" s="45"/>
      <c r="C58" s="40"/>
      <c r="D58" s="39" t="str">
        <f t="shared" si="2"/>
        <v/>
      </c>
      <c r="E58" s="45" t="str">
        <f t="shared" si="3"/>
        <v/>
      </c>
      <c r="F58" s="40" t="str">
        <f>IF($C58="","",$E$4*3.5*'Daily Analysis'!$B$4/200*$C58)</f>
        <v/>
      </c>
      <c r="G58" s="40"/>
      <c r="H58" s="38"/>
    </row>
    <row r="59" spans="1:8" x14ac:dyDescent="0.35">
      <c r="A59" s="23"/>
      <c r="B59" s="44"/>
      <c r="C59" s="36"/>
      <c r="D59" s="35" t="str">
        <f t="shared" si="2"/>
        <v/>
      </c>
      <c r="E59" s="44" t="str">
        <f t="shared" si="3"/>
        <v/>
      </c>
      <c r="F59" s="36" t="str">
        <f>IF($C59="","",$E$4*3.5*'Daily Analysis'!$B$4/200*$C59)</f>
        <v/>
      </c>
      <c r="G59" s="36"/>
      <c r="H59" s="17"/>
    </row>
    <row r="60" spans="1:8" x14ac:dyDescent="0.35">
      <c r="A60" s="37"/>
      <c r="B60" s="45"/>
      <c r="C60" s="40"/>
      <c r="D60" s="39" t="str">
        <f t="shared" si="2"/>
        <v/>
      </c>
      <c r="E60" s="45" t="str">
        <f t="shared" si="3"/>
        <v/>
      </c>
      <c r="F60" s="40" t="str">
        <f>IF($C60="","",$E$4*3.5*'Daily Analysis'!$B$4/200*$C60)</f>
        <v/>
      </c>
      <c r="G60" s="40"/>
      <c r="H60" s="38"/>
    </row>
    <row r="61" spans="1:8" x14ac:dyDescent="0.35">
      <c r="A61" s="23"/>
      <c r="B61" s="44"/>
      <c r="C61" s="36"/>
      <c r="D61" s="35" t="str">
        <f t="shared" si="2"/>
        <v/>
      </c>
      <c r="E61" s="44" t="str">
        <f t="shared" si="3"/>
        <v/>
      </c>
      <c r="F61" s="36" t="str">
        <f>IF($C61="","",$E$4*3.5*'Daily Analysis'!$B$4/200*$C61)</f>
        <v/>
      </c>
      <c r="G61" s="36"/>
      <c r="H61" s="17"/>
    </row>
    <row r="62" spans="1:8" x14ac:dyDescent="0.35">
      <c r="A62" s="37"/>
      <c r="B62" s="45"/>
      <c r="C62" s="40"/>
      <c r="D62" s="39" t="str">
        <f t="shared" si="2"/>
        <v/>
      </c>
      <c r="E62" s="45" t="str">
        <f t="shared" si="3"/>
        <v/>
      </c>
      <c r="F62" s="40" t="str">
        <f>IF($C62="","",$E$4*3.5*'Daily Analysis'!$B$4/200*$C62)</f>
        <v/>
      </c>
      <c r="G62" s="40"/>
      <c r="H62" s="38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zoomScaleNormal="100" workbookViewId="0">
      <pane ySplit="12" topLeftCell="A13" activePane="bottomLeft" state="frozen"/>
      <selection pane="bottomLeft"/>
    </sheetView>
  </sheetViews>
  <sheetFormatPr defaultColWidth="8.6328125" defaultRowHeight="14.5" x14ac:dyDescent="0.35"/>
  <cols>
    <col min="1" max="1" width="13" customWidth="1"/>
    <col min="2" max="6" width="11" customWidth="1"/>
    <col min="7" max="7" width="18" customWidth="1"/>
  </cols>
  <sheetData>
    <row r="1" spans="1:7" ht="30" customHeight="1" x14ac:dyDescent="0.35">
      <c r="A1" s="4" t="s">
        <v>72</v>
      </c>
      <c r="B1" s="4"/>
      <c r="C1" s="4"/>
      <c r="D1" s="4"/>
      <c r="E1" s="4"/>
      <c r="F1" s="4"/>
      <c r="G1" s="4"/>
    </row>
    <row r="2" spans="1:7" x14ac:dyDescent="0.35">
      <c r="A2" s="9" t="s">
        <v>32</v>
      </c>
      <c r="B2" s="9"/>
      <c r="C2" s="9"/>
      <c r="D2" s="9"/>
      <c r="E2" s="9"/>
      <c r="F2" s="9"/>
      <c r="G2" s="9"/>
    </row>
    <row r="4" spans="1:7" x14ac:dyDescent="0.35">
      <c r="A4" s="11" t="s">
        <v>33</v>
      </c>
      <c r="D4" s="12" t="s">
        <v>73</v>
      </c>
      <c r="E4" s="13">
        <v>7</v>
      </c>
    </row>
    <row r="5" spans="1:7" x14ac:dyDescent="0.35">
      <c r="A5" s="12" t="s">
        <v>13</v>
      </c>
      <c r="B5" s="15">
        <f>COUNT(A13:A62)</f>
        <v>0</v>
      </c>
      <c r="D5" s="12" t="s">
        <v>74</v>
      </c>
      <c r="E5" s="42" t="str">
        <f>IF(COUNT(B13:B62)=0,"",MIN(D13:D62))</f>
        <v/>
      </c>
    </row>
    <row r="6" spans="1:7" x14ac:dyDescent="0.35">
      <c r="A6" s="12" t="s">
        <v>75</v>
      </c>
      <c r="B6" s="15">
        <f>SUM(B13:B62)</f>
        <v>0</v>
      </c>
      <c r="D6" s="12" t="s">
        <v>76</v>
      </c>
      <c r="E6" s="15" t="str">
        <f>IF(COUNT(B13:B62)=0,"",MAX(B13:B62))</f>
        <v/>
      </c>
    </row>
    <row r="7" spans="1:7" x14ac:dyDescent="0.35">
      <c r="A7" s="12" t="s">
        <v>36</v>
      </c>
      <c r="B7" s="31">
        <f>ROUND(SUM(E13:E62),0)</f>
        <v>0</v>
      </c>
    </row>
    <row r="12" spans="1:7" ht="30" customHeight="1" x14ac:dyDescent="0.35">
      <c r="A12" s="51" t="s">
        <v>27</v>
      </c>
      <c r="B12" s="51" t="s">
        <v>77</v>
      </c>
      <c r="C12" s="51" t="s">
        <v>50</v>
      </c>
      <c r="D12" s="51" t="s">
        <v>78</v>
      </c>
      <c r="E12" s="51" t="s">
        <v>51</v>
      </c>
      <c r="F12" s="51" t="s">
        <v>52</v>
      </c>
      <c r="G12" s="51" t="s">
        <v>53</v>
      </c>
    </row>
    <row r="13" spans="1:7" x14ac:dyDescent="0.35">
      <c r="A13" s="23"/>
      <c r="B13" s="36"/>
      <c r="C13" s="36"/>
      <c r="D13" s="44" t="str">
        <f t="shared" ref="D13:D44" si="0">IF(OR($B13="",$C13="",$B13=0),"",$C13/($B13/100))</f>
        <v/>
      </c>
      <c r="E13" s="36" t="str">
        <f>IF($C13="","",$E$4*3.5*'Daily Analysis'!$B$4/200*$C13)</f>
        <v/>
      </c>
      <c r="F13" s="36"/>
      <c r="G13" s="17"/>
    </row>
    <row r="14" spans="1:7" x14ac:dyDescent="0.35">
      <c r="A14" s="37"/>
      <c r="B14" s="40"/>
      <c r="C14" s="40"/>
      <c r="D14" s="45" t="str">
        <f t="shared" si="0"/>
        <v/>
      </c>
      <c r="E14" s="40" t="str">
        <f>IF($C14="","",$E$4*3.5*'Daily Analysis'!$B$4/200*$C14)</f>
        <v/>
      </c>
      <c r="F14" s="40"/>
      <c r="G14" s="38"/>
    </row>
    <row r="15" spans="1:7" x14ac:dyDescent="0.35">
      <c r="A15" s="23"/>
      <c r="B15" s="36"/>
      <c r="C15" s="36"/>
      <c r="D15" s="44" t="str">
        <f t="shared" si="0"/>
        <v/>
      </c>
      <c r="E15" s="36" t="str">
        <f>IF($C15="","",$E$4*3.5*'Daily Analysis'!$B$4/200*$C15)</f>
        <v/>
      </c>
      <c r="F15" s="36"/>
      <c r="G15" s="17"/>
    </row>
    <row r="16" spans="1:7" x14ac:dyDescent="0.35">
      <c r="A16" s="37"/>
      <c r="B16" s="40"/>
      <c r="C16" s="40"/>
      <c r="D16" s="45" t="str">
        <f t="shared" si="0"/>
        <v/>
      </c>
      <c r="E16" s="40" t="str">
        <f>IF($C16="","",$E$4*3.5*'Daily Analysis'!$B$4/200*$C16)</f>
        <v/>
      </c>
      <c r="F16" s="40"/>
      <c r="G16" s="38"/>
    </row>
    <row r="17" spans="1:7" x14ac:dyDescent="0.35">
      <c r="A17" s="23"/>
      <c r="B17" s="36"/>
      <c r="C17" s="36"/>
      <c r="D17" s="44" t="str">
        <f t="shared" si="0"/>
        <v/>
      </c>
      <c r="E17" s="36" t="str">
        <f>IF($C17="","",$E$4*3.5*'Daily Analysis'!$B$4/200*$C17)</f>
        <v/>
      </c>
      <c r="F17" s="36"/>
      <c r="G17" s="17"/>
    </row>
    <row r="18" spans="1:7" x14ac:dyDescent="0.35">
      <c r="A18" s="37"/>
      <c r="B18" s="40"/>
      <c r="C18" s="40"/>
      <c r="D18" s="45" t="str">
        <f t="shared" si="0"/>
        <v/>
      </c>
      <c r="E18" s="40" t="str">
        <f>IF($C18="","",$E$4*3.5*'Daily Analysis'!$B$4/200*$C18)</f>
        <v/>
      </c>
      <c r="F18" s="40"/>
      <c r="G18" s="38"/>
    </row>
    <row r="19" spans="1:7" x14ac:dyDescent="0.35">
      <c r="A19" s="23"/>
      <c r="B19" s="36"/>
      <c r="C19" s="36"/>
      <c r="D19" s="44" t="str">
        <f t="shared" si="0"/>
        <v/>
      </c>
      <c r="E19" s="36" t="str">
        <f>IF($C19="","",$E$4*3.5*'Daily Analysis'!$B$4/200*$C19)</f>
        <v/>
      </c>
      <c r="F19" s="36"/>
      <c r="G19" s="17"/>
    </row>
    <row r="20" spans="1:7" x14ac:dyDescent="0.35">
      <c r="A20" s="37"/>
      <c r="B20" s="40"/>
      <c r="C20" s="40"/>
      <c r="D20" s="45" t="str">
        <f t="shared" si="0"/>
        <v/>
      </c>
      <c r="E20" s="40" t="str">
        <f>IF($C20="","",$E$4*3.5*'Daily Analysis'!$B$4/200*$C20)</f>
        <v/>
      </c>
      <c r="F20" s="40"/>
      <c r="G20" s="38"/>
    </row>
    <row r="21" spans="1:7" x14ac:dyDescent="0.35">
      <c r="A21" s="23"/>
      <c r="B21" s="36"/>
      <c r="C21" s="36"/>
      <c r="D21" s="44" t="str">
        <f t="shared" si="0"/>
        <v/>
      </c>
      <c r="E21" s="36" t="str">
        <f>IF($C21="","",$E$4*3.5*'Daily Analysis'!$B$4/200*$C21)</f>
        <v/>
      </c>
      <c r="F21" s="36"/>
      <c r="G21" s="17"/>
    </row>
    <row r="22" spans="1:7" x14ac:dyDescent="0.35">
      <c r="A22" s="37"/>
      <c r="B22" s="40"/>
      <c r="C22" s="40"/>
      <c r="D22" s="45" t="str">
        <f t="shared" si="0"/>
        <v/>
      </c>
      <c r="E22" s="40" t="str">
        <f>IF($C22="","",$E$4*3.5*'Daily Analysis'!$B$4/200*$C22)</f>
        <v/>
      </c>
      <c r="F22" s="40"/>
      <c r="G22" s="38"/>
    </row>
    <row r="23" spans="1:7" x14ac:dyDescent="0.35">
      <c r="A23" s="23"/>
      <c r="B23" s="36"/>
      <c r="C23" s="36"/>
      <c r="D23" s="44" t="str">
        <f t="shared" si="0"/>
        <v/>
      </c>
      <c r="E23" s="36" t="str">
        <f>IF($C23="","",$E$4*3.5*'Daily Analysis'!$B$4/200*$C23)</f>
        <v/>
      </c>
      <c r="F23" s="36"/>
      <c r="G23" s="17"/>
    </row>
    <row r="24" spans="1:7" x14ac:dyDescent="0.35">
      <c r="A24" s="37"/>
      <c r="B24" s="40"/>
      <c r="C24" s="40"/>
      <c r="D24" s="45" t="str">
        <f t="shared" si="0"/>
        <v/>
      </c>
      <c r="E24" s="40" t="str">
        <f>IF($C24="","",$E$4*3.5*'Daily Analysis'!$B$4/200*$C24)</f>
        <v/>
      </c>
      <c r="F24" s="40"/>
      <c r="G24" s="38"/>
    </row>
    <row r="25" spans="1:7" x14ac:dyDescent="0.35">
      <c r="A25" s="23"/>
      <c r="B25" s="36"/>
      <c r="C25" s="36"/>
      <c r="D25" s="44" t="str">
        <f t="shared" si="0"/>
        <v/>
      </c>
      <c r="E25" s="36" t="str">
        <f>IF($C25="","",$E$4*3.5*'Daily Analysis'!$B$4/200*$C25)</f>
        <v/>
      </c>
      <c r="F25" s="36"/>
      <c r="G25" s="17"/>
    </row>
    <row r="26" spans="1:7" x14ac:dyDescent="0.35">
      <c r="A26" s="37"/>
      <c r="B26" s="40"/>
      <c r="C26" s="40"/>
      <c r="D26" s="45" t="str">
        <f t="shared" si="0"/>
        <v/>
      </c>
      <c r="E26" s="40" t="str">
        <f>IF($C26="","",$E$4*3.5*'Daily Analysis'!$B$4/200*$C26)</f>
        <v/>
      </c>
      <c r="F26" s="40"/>
      <c r="G26" s="38"/>
    </row>
    <row r="27" spans="1:7" x14ac:dyDescent="0.35">
      <c r="A27" s="23"/>
      <c r="B27" s="36"/>
      <c r="C27" s="36"/>
      <c r="D27" s="44" t="str">
        <f t="shared" si="0"/>
        <v/>
      </c>
      <c r="E27" s="36" t="str">
        <f>IF($C27="","",$E$4*3.5*'Daily Analysis'!$B$4/200*$C27)</f>
        <v/>
      </c>
      <c r="F27" s="36"/>
      <c r="G27" s="17"/>
    </row>
    <row r="28" spans="1:7" x14ac:dyDescent="0.35">
      <c r="A28" s="37"/>
      <c r="B28" s="40"/>
      <c r="C28" s="40"/>
      <c r="D28" s="45" t="str">
        <f t="shared" si="0"/>
        <v/>
      </c>
      <c r="E28" s="40" t="str">
        <f>IF($C28="","",$E$4*3.5*'Daily Analysis'!$B$4/200*$C28)</f>
        <v/>
      </c>
      <c r="F28" s="40"/>
      <c r="G28" s="38"/>
    </row>
    <row r="29" spans="1:7" x14ac:dyDescent="0.35">
      <c r="A29" s="23"/>
      <c r="B29" s="36"/>
      <c r="C29" s="36"/>
      <c r="D29" s="44" t="str">
        <f t="shared" si="0"/>
        <v/>
      </c>
      <c r="E29" s="36" t="str">
        <f>IF($C29="","",$E$4*3.5*'Daily Analysis'!$B$4/200*$C29)</f>
        <v/>
      </c>
      <c r="F29" s="36"/>
      <c r="G29" s="17"/>
    </row>
    <row r="30" spans="1:7" x14ac:dyDescent="0.35">
      <c r="A30" s="37"/>
      <c r="B30" s="40"/>
      <c r="C30" s="40"/>
      <c r="D30" s="45" t="str">
        <f t="shared" si="0"/>
        <v/>
      </c>
      <c r="E30" s="40" t="str">
        <f>IF($C30="","",$E$4*3.5*'Daily Analysis'!$B$4/200*$C30)</f>
        <v/>
      </c>
      <c r="F30" s="40"/>
      <c r="G30" s="38"/>
    </row>
    <row r="31" spans="1:7" x14ac:dyDescent="0.35">
      <c r="A31" s="23"/>
      <c r="B31" s="36"/>
      <c r="C31" s="36"/>
      <c r="D31" s="44" t="str">
        <f t="shared" si="0"/>
        <v/>
      </c>
      <c r="E31" s="36" t="str">
        <f>IF($C31="","",$E$4*3.5*'Daily Analysis'!$B$4/200*$C31)</f>
        <v/>
      </c>
      <c r="F31" s="36"/>
      <c r="G31" s="17"/>
    </row>
    <row r="32" spans="1:7" x14ac:dyDescent="0.35">
      <c r="A32" s="37"/>
      <c r="B32" s="40"/>
      <c r="C32" s="40"/>
      <c r="D32" s="45" t="str">
        <f t="shared" si="0"/>
        <v/>
      </c>
      <c r="E32" s="40" t="str">
        <f>IF($C32="","",$E$4*3.5*'Daily Analysis'!$B$4/200*$C32)</f>
        <v/>
      </c>
      <c r="F32" s="40"/>
      <c r="G32" s="38"/>
    </row>
    <row r="33" spans="1:7" x14ac:dyDescent="0.35">
      <c r="A33" s="23"/>
      <c r="B33" s="36"/>
      <c r="C33" s="36"/>
      <c r="D33" s="44" t="str">
        <f t="shared" si="0"/>
        <v/>
      </c>
      <c r="E33" s="36" t="str">
        <f>IF($C33="","",$E$4*3.5*'Daily Analysis'!$B$4/200*$C33)</f>
        <v/>
      </c>
      <c r="F33" s="36"/>
      <c r="G33" s="17"/>
    </row>
    <row r="34" spans="1:7" x14ac:dyDescent="0.35">
      <c r="A34" s="37"/>
      <c r="B34" s="40"/>
      <c r="C34" s="40"/>
      <c r="D34" s="45" t="str">
        <f t="shared" si="0"/>
        <v/>
      </c>
      <c r="E34" s="40" t="str">
        <f>IF($C34="","",$E$4*3.5*'Daily Analysis'!$B$4/200*$C34)</f>
        <v/>
      </c>
      <c r="F34" s="40"/>
      <c r="G34" s="38"/>
    </row>
    <row r="35" spans="1:7" x14ac:dyDescent="0.35">
      <c r="A35" s="23"/>
      <c r="B35" s="36"/>
      <c r="C35" s="36"/>
      <c r="D35" s="44" t="str">
        <f t="shared" si="0"/>
        <v/>
      </c>
      <c r="E35" s="36" t="str">
        <f>IF($C35="","",$E$4*3.5*'Daily Analysis'!$B$4/200*$C35)</f>
        <v/>
      </c>
      <c r="F35" s="36"/>
      <c r="G35" s="17"/>
    </row>
    <row r="36" spans="1:7" x14ac:dyDescent="0.35">
      <c r="A36" s="37"/>
      <c r="B36" s="40"/>
      <c r="C36" s="40"/>
      <c r="D36" s="45" t="str">
        <f t="shared" si="0"/>
        <v/>
      </c>
      <c r="E36" s="40" t="str">
        <f>IF($C36="","",$E$4*3.5*'Daily Analysis'!$B$4/200*$C36)</f>
        <v/>
      </c>
      <c r="F36" s="40"/>
      <c r="G36" s="38"/>
    </row>
    <row r="37" spans="1:7" x14ac:dyDescent="0.35">
      <c r="A37" s="23"/>
      <c r="B37" s="36"/>
      <c r="C37" s="36"/>
      <c r="D37" s="44" t="str">
        <f t="shared" si="0"/>
        <v/>
      </c>
      <c r="E37" s="36" t="str">
        <f>IF($C37="","",$E$4*3.5*'Daily Analysis'!$B$4/200*$C37)</f>
        <v/>
      </c>
      <c r="F37" s="36"/>
      <c r="G37" s="17"/>
    </row>
    <row r="38" spans="1:7" x14ac:dyDescent="0.35">
      <c r="A38" s="37"/>
      <c r="B38" s="40"/>
      <c r="C38" s="40"/>
      <c r="D38" s="45" t="str">
        <f t="shared" si="0"/>
        <v/>
      </c>
      <c r="E38" s="40" t="str">
        <f>IF($C38="","",$E$4*3.5*'Daily Analysis'!$B$4/200*$C38)</f>
        <v/>
      </c>
      <c r="F38" s="40"/>
      <c r="G38" s="38"/>
    </row>
    <row r="39" spans="1:7" x14ac:dyDescent="0.35">
      <c r="A39" s="23"/>
      <c r="B39" s="36"/>
      <c r="C39" s="36"/>
      <c r="D39" s="44" t="str">
        <f t="shared" si="0"/>
        <v/>
      </c>
      <c r="E39" s="36" t="str">
        <f>IF($C39="","",$E$4*3.5*'Daily Analysis'!$B$4/200*$C39)</f>
        <v/>
      </c>
      <c r="F39" s="36"/>
      <c r="G39" s="17"/>
    </row>
    <row r="40" spans="1:7" x14ac:dyDescent="0.35">
      <c r="A40" s="37"/>
      <c r="B40" s="40"/>
      <c r="C40" s="40"/>
      <c r="D40" s="45" t="str">
        <f t="shared" si="0"/>
        <v/>
      </c>
      <c r="E40" s="40" t="str">
        <f>IF($C40="","",$E$4*3.5*'Daily Analysis'!$B$4/200*$C40)</f>
        <v/>
      </c>
      <c r="F40" s="40"/>
      <c r="G40" s="38"/>
    </row>
    <row r="41" spans="1:7" x14ac:dyDescent="0.35">
      <c r="A41" s="23"/>
      <c r="B41" s="36"/>
      <c r="C41" s="36"/>
      <c r="D41" s="44" t="str">
        <f t="shared" si="0"/>
        <v/>
      </c>
      <c r="E41" s="36" t="str">
        <f>IF($C41="","",$E$4*3.5*'Daily Analysis'!$B$4/200*$C41)</f>
        <v/>
      </c>
      <c r="F41" s="36"/>
      <c r="G41" s="17"/>
    </row>
    <row r="42" spans="1:7" x14ac:dyDescent="0.35">
      <c r="A42" s="37"/>
      <c r="B42" s="40"/>
      <c r="C42" s="40"/>
      <c r="D42" s="45" t="str">
        <f t="shared" si="0"/>
        <v/>
      </c>
      <c r="E42" s="40" t="str">
        <f>IF($C42="","",$E$4*3.5*'Daily Analysis'!$B$4/200*$C42)</f>
        <v/>
      </c>
      <c r="F42" s="40"/>
      <c r="G42" s="38"/>
    </row>
    <row r="43" spans="1:7" x14ac:dyDescent="0.35">
      <c r="A43" s="23"/>
      <c r="B43" s="36"/>
      <c r="C43" s="36"/>
      <c r="D43" s="44" t="str">
        <f t="shared" si="0"/>
        <v/>
      </c>
      <c r="E43" s="36" t="str">
        <f>IF($C43="","",$E$4*3.5*'Daily Analysis'!$B$4/200*$C43)</f>
        <v/>
      </c>
      <c r="F43" s="36"/>
      <c r="G43" s="17"/>
    </row>
    <row r="44" spans="1:7" x14ac:dyDescent="0.35">
      <c r="A44" s="37"/>
      <c r="B44" s="40"/>
      <c r="C44" s="40"/>
      <c r="D44" s="45" t="str">
        <f t="shared" si="0"/>
        <v/>
      </c>
      <c r="E44" s="40" t="str">
        <f>IF($C44="","",$E$4*3.5*'Daily Analysis'!$B$4/200*$C44)</f>
        <v/>
      </c>
      <c r="F44" s="40"/>
      <c r="G44" s="38"/>
    </row>
    <row r="45" spans="1:7" x14ac:dyDescent="0.35">
      <c r="A45" s="23"/>
      <c r="B45" s="36"/>
      <c r="C45" s="36"/>
      <c r="D45" s="44" t="str">
        <f t="shared" ref="D45:D62" si="1">IF(OR($B45="",$C45="",$B45=0),"",$C45/($B45/100))</f>
        <v/>
      </c>
      <c r="E45" s="36" t="str">
        <f>IF($C45="","",$E$4*3.5*'Daily Analysis'!$B$4/200*$C45)</f>
        <v/>
      </c>
      <c r="F45" s="36"/>
      <c r="G45" s="17"/>
    </row>
    <row r="46" spans="1:7" x14ac:dyDescent="0.35">
      <c r="A46" s="37"/>
      <c r="B46" s="40"/>
      <c r="C46" s="40"/>
      <c r="D46" s="45" t="str">
        <f t="shared" si="1"/>
        <v/>
      </c>
      <c r="E46" s="40" t="str">
        <f>IF($C46="","",$E$4*3.5*'Daily Analysis'!$B$4/200*$C46)</f>
        <v/>
      </c>
      <c r="F46" s="40"/>
      <c r="G46" s="38"/>
    </row>
    <row r="47" spans="1:7" x14ac:dyDescent="0.35">
      <c r="A47" s="23"/>
      <c r="B47" s="36"/>
      <c r="C47" s="36"/>
      <c r="D47" s="44" t="str">
        <f t="shared" si="1"/>
        <v/>
      </c>
      <c r="E47" s="36" t="str">
        <f>IF($C47="","",$E$4*3.5*'Daily Analysis'!$B$4/200*$C47)</f>
        <v/>
      </c>
      <c r="F47" s="36"/>
      <c r="G47" s="17"/>
    </row>
    <row r="48" spans="1:7" x14ac:dyDescent="0.35">
      <c r="A48" s="37"/>
      <c r="B48" s="40"/>
      <c r="C48" s="40"/>
      <c r="D48" s="45" t="str">
        <f t="shared" si="1"/>
        <v/>
      </c>
      <c r="E48" s="40" t="str">
        <f>IF($C48="","",$E$4*3.5*'Daily Analysis'!$B$4/200*$C48)</f>
        <v/>
      </c>
      <c r="F48" s="40"/>
      <c r="G48" s="38"/>
    </row>
    <row r="49" spans="1:7" x14ac:dyDescent="0.35">
      <c r="A49" s="23"/>
      <c r="B49" s="36"/>
      <c r="C49" s="36"/>
      <c r="D49" s="44" t="str">
        <f t="shared" si="1"/>
        <v/>
      </c>
      <c r="E49" s="36" t="str">
        <f>IF($C49="","",$E$4*3.5*'Daily Analysis'!$B$4/200*$C49)</f>
        <v/>
      </c>
      <c r="F49" s="36"/>
      <c r="G49" s="17"/>
    </row>
    <row r="50" spans="1:7" x14ac:dyDescent="0.35">
      <c r="A50" s="37"/>
      <c r="B50" s="40"/>
      <c r="C50" s="40"/>
      <c r="D50" s="45" t="str">
        <f t="shared" si="1"/>
        <v/>
      </c>
      <c r="E50" s="40" t="str">
        <f>IF($C50="","",$E$4*3.5*'Daily Analysis'!$B$4/200*$C50)</f>
        <v/>
      </c>
      <c r="F50" s="40"/>
      <c r="G50" s="38"/>
    </row>
    <row r="51" spans="1:7" x14ac:dyDescent="0.35">
      <c r="A51" s="23"/>
      <c r="B51" s="36"/>
      <c r="C51" s="36"/>
      <c r="D51" s="44" t="str">
        <f t="shared" si="1"/>
        <v/>
      </c>
      <c r="E51" s="36" t="str">
        <f>IF($C51="","",$E$4*3.5*'Daily Analysis'!$B$4/200*$C51)</f>
        <v/>
      </c>
      <c r="F51" s="36"/>
      <c r="G51" s="17"/>
    </row>
    <row r="52" spans="1:7" x14ac:dyDescent="0.35">
      <c r="A52" s="37"/>
      <c r="B52" s="40"/>
      <c r="C52" s="40"/>
      <c r="D52" s="45" t="str">
        <f t="shared" si="1"/>
        <v/>
      </c>
      <c r="E52" s="40" t="str">
        <f>IF($C52="","",$E$4*3.5*'Daily Analysis'!$B$4/200*$C52)</f>
        <v/>
      </c>
      <c r="F52" s="40"/>
      <c r="G52" s="38"/>
    </row>
    <row r="53" spans="1:7" x14ac:dyDescent="0.35">
      <c r="A53" s="23"/>
      <c r="B53" s="36"/>
      <c r="C53" s="36"/>
      <c r="D53" s="44" t="str">
        <f t="shared" si="1"/>
        <v/>
      </c>
      <c r="E53" s="36" t="str">
        <f>IF($C53="","",$E$4*3.5*'Daily Analysis'!$B$4/200*$C53)</f>
        <v/>
      </c>
      <c r="F53" s="36"/>
      <c r="G53" s="17"/>
    </row>
    <row r="54" spans="1:7" x14ac:dyDescent="0.35">
      <c r="A54" s="37"/>
      <c r="B54" s="40"/>
      <c r="C54" s="40"/>
      <c r="D54" s="45" t="str">
        <f t="shared" si="1"/>
        <v/>
      </c>
      <c r="E54" s="40" t="str">
        <f>IF($C54="","",$E$4*3.5*'Daily Analysis'!$B$4/200*$C54)</f>
        <v/>
      </c>
      <c r="F54" s="40"/>
      <c r="G54" s="38"/>
    </row>
    <row r="55" spans="1:7" x14ac:dyDescent="0.35">
      <c r="A55" s="23"/>
      <c r="B55" s="36"/>
      <c r="C55" s="36"/>
      <c r="D55" s="44" t="str">
        <f t="shared" si="1"/>
        <v/>
      </c>
      <c r="E55" s="36" t="str">
        <f>IF($C55="","",$E$4*3.5*'Daily Analysis'!$B$4/200*$C55)</f>
        <v/>
      </c>
      <c r="F55" s="36"/>
      <c r="G55" s="17"/>
    </row>
    <row r="56" spans="1:7" x14ac:dyDescent="0.35">
      <c r="A56" s="37"/>
      <c r="B56" s="40"/>
      <c r="C56" s="40"/>
      <c r="D56" s="45" t="str">
        <f t="shared" si="1"/>
        <v/>
      </c>
      <c r="E56" s="40" t="str">
        <f>IF($C56="","",$E$4*3.5*'Daily Analysis'!$B$4/200*$C56)</f>
        <v/>
      </c>
      <c r="F56" s="40"/>
      <c r="G56" s="38"/>
    </row>
    <row r="57" spans="1:7" x14ac:dyDescent="0.35">
      <c r="A57" s="23"/>
      <c r="B57" s="36"/>
      <c r="C57" s="36"/>
      <c r="D57" s="44" t="str">
        <f t="shared" si="1"/>
        <v/>
      </c>
      <c r="E57" s="36" t="str">
        <f>IF($C57="","",$E$4*3.5*'Daily Analysis'!$B$4/200*$C57)</f>
        <v/>
      </c>
      <c r="F57" s="36"/>
      <c r="G57" s="17"/>
    </row>
    <row r="58" spans="1:7" x14ac:dyDescent="0.35">
      <c r="A58" s="37"/>
      <c r="B58" s="40"/>
      <c r="C58" s="40"/>
      <c r="D58" s="45" t="str">
        <f t="shared" si="1"/>
        <v/>
      </c>
      <c r="E58" s="40" t="str">
        <f>IF($C58="","",$E$4*3.5*'Daily Analysis'!$B$4/200*$C58)</f>
        <v/>
      </c>
      <c r="F58" s="40"/>
      <c r="G58" s="38"/>
    </row>
    <row r="59" spans="1:7" x14ac:dyDescent="0.35">
      <c r="A59" s="23"/>
      <c r="B59" s="36"/>
      <c r="C59" s="36"/>
      <c r="D59" s="44" t="str">
        <f t="shared" si="1"/>
        <v/>
      </c>
      <c r="E59" s="36" t="str">
        <f>IF($C59="","",$E$4*3.5*'Daily Analysis'!$B$4/200*$C59)</f>
        <v/>
      </c>
      <c r="F59" s="36"/>
      <c r="G59" s="17"/>
    </row>
    <row r="60" spans="1:7" x14ac:dyDescent="0.35">
      <c r="A60" s="37"/>
      <c r="B60" s="40"/>
      <c r="C60" s="40"/>
      <c r="D60" s="45" t="str">
        <f t="shared" si="1"/>
        <v/>
      </c>
      <c r="E60" s="40" t="str">
        <f>IF($C60="","",$E$4*3.5*'Daily Analysis'!$B$4/200*$C60)</f>
        <v/>
      </c>
      <c r="F60" s="40"/>
      <c r="G60" s="38"/>
    </row>
    <row r="61" spans="1:7" x14ac:dyDescent="0.35">
      <c r="A61" s="23"/>
      <c r="B61" s="36"/>
      <c r="C61" s="36"/>
      <c r="D61" s="44" t="str">
        <f t="shared" si="1"/>
        <v/>
      </c>
      <c r="E61" s="36" t="str">
        <f>IF($C61="","",$E$4*3.5*'Daily Analysis'!$B$4/200*$C61)</f>
        <v/>
      </c>
      <c r="F61" s="36"/>
      <c r="G61" s="17"/>
    </row>
    <row r="62" spans="1:7" x14ac:dyDescent="0.35">
      <c r="A62" s="37"/>
      <c r="B62" s="40"/>
      <c r="C62" s="40"/>
      <c r="D62" s="45" t="str">
        <f t="shared" si="1"/>
        <v/>
      </c>
      <c r="E62" s="40" t="str">
        <f>IF($C62="","",$E$4*3.5*'Daily Analysis'!$B$4/200*$C62)</f>
        <v/>
      </c>
      <c r="F62" s="40"/>
      <c r="G62" s="38"/>
    </row>
  </sheetData>
  <mergeCells count="2">
    <mergeCell ref="A1:G1"/>
    <mergeCell ref="A2:G2"/>
  </mergeCells>
  <dataValidations count="1">
    <dataValidation type="whole" allowBlank="1" sqref="F13:F62" xr:uid="{00000000-0002-0000-0500-000000000000}">
      <formula1>1</formula1>
      <formula2>10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2"/>
  <sheetViews>
    <sheetView zoomScaleNormal="100" workbookViewId="0">
      <pane ySplit="12" topLeftCell="A13" activePane="bottomLeft" state="frozen"/>
      <selection pane="bottomLeft"/>
    </sheetView>
  </sheetViews>
  <sheetFormatPr defaultColWidth="8.6328125" defaultRowHeight="14.5" x14ac:dyDescent="0.35"/>
  <cols>
    <col min="1" max="1" width="13" customWidth="1"/>
    <col min="2" max="6" width="11" customWidth="1"/>
    <col min="7" max="7" width="18" customWidth="1"/>
  </cols>
  <sheetData>
    <row r="1" spans="1:7" ht="30" customHeight="1" x14ac:dyDescent="0.35">
      <c r="A1" s="3" t="s">
        <v>79</v>
      </c>
      <c r="B1" s="3"/>
      <c r="C1" s="3"/>
      <c r="D1" s="3"/>
      <c r="E1" s="3"/>
      <c r="F1" s="3"/>
      <c r="G1" s="3"/>
    </row>
    <row r="2" spans="1:7" x14ac:dyDescent="0.35">
      <c r="A2" s="9" t="s">
        <v>32</v>
      </c>
      <c r="B2" s="9"/>
      <c r="C2" s="9"/>
      <c r="D2" s="9"/>
      <c r="E2" s="9"/>
      <c r="F2" s="9"/>
      <c r="G2" s="9"/>
    </row>
    <row r="4" spans="1:7" x14ac:dyDescent="0.35">
      <c r="A4" s="11" t="s">
        <v>33</v>
      </c>
      <c r="D4" s="12" t="s">
        <v>80</v>
      </c>
      <c r="E4" s="13">
        <v>6.8</v>
      </c>
    </row>
    <row r="5" spans="1:7" x14ac:dyDescent="0.35">
      <c r="A5" s="12" t="s">
        <v>13</v>
      </c>
      <c r="B5" s="15">
        <f>COUNT(A13:A62)</f>
        <v>0</v>
      </c>
      <c r="D5" s="12" t="s">
        <v>63</v>
      </c>
      <c r="E5" s="33" t="str">
        <f>IF(COUNT(D13:D62)=0,"",AVERAGE(D13:D62))</f>
        <v/>
      </c>
    </row>
    <row r="6" spans="1:7" x14ac:dyDescent="0.35">
      <c r="A6" s="12" t="s">
        <v>61</v>
      </c>
      <c r="B6" s="33">
        <f>SUM(B13:B62)</f>
        <v>0</v>
      </c>
      <c r="D6" s="12" t="s">
        <v>81</v>
      </c>
      <c r="E6" s="33" t="str">
        <f>IF(COUNT(B13:B62)=0,"",MAX(B13:B62))</f>
        <v/>
      </c>
    </row>
    <row r="7" spans="1:7" x14ac:dyDescent="0.35">
      <c r="A7" s="12" t="s">
        <v>36</v>
      </c>
      <c r="B7" s="31">
        <f>ROUND(SUM(E13:E62),0)</f>
        <v>0</v>
      </c>
    </row>
    <row r="12" spans="1:7" ht="30" customHeight="1" x14ac:dyDescent="0.35">
      <c r="A12" s="52" t="s">
        <v>27</v>
      </c>
      <c r="B12" s="52" t="s">
        <v>64</v>
      </c>
      <c r="C12" s="52" t="s">
        <v>50</v>
      </c>
      <c r="D12" s="52" t="s">
        <v>66</v>
      </c>
      <c r="E12" s="52" t="s">
        <v>51</v>
      </c>
      <c r="F12" s="52" t="s">
        <v>52</v>
      </c>
      <c r="G12" s="52" t="s">
        <v>53</v>
      </c>
    </row>
    <row r="13" spans="1:7" x14ac:dyDescent="0.35">
      <c r="A13" s="23"/>
      <c r="B13" s="35"/>
      <c r="C13" s="36"/>
      <c r="D13" s="35" t="str">
        <f t="shared" ref="D13:D44" si="0">IF(OR($B13="",$C13="",$C13=0),"",$B13/($C13/60))</f>
        <v/>
      </c>
      <c r="E13" s="36" t="str">
        <f>IF($C13="","",$E$4*3.5*'Daily Analysis'!$B$4/200*$C13)</f>
        <v/>
      </c>
      <c r="F13" s="36"/>
      <c r="G13" s="17"/>
    </row>
    <row r="14" spans="1:7" x14ac:dyDescent="0.35">
      <c r="A14" s="37"/>
      <c r="B14" s="39"/>
      <c r="C14" s="40"/>
      <c r="D14" s="39" t="str">
        <f t="shared" si="0"/>
        <v/>
      </c>
      <c r="E14" s="40" t="str">
        <f>IF($C14="","",$E$4*3.5*'Daily Analysis'!$B$4/200*$C14)</f>
        <v/>
      </c>
      <c r="F14" s="40"/>
      <c r="G14" s="38"/>
    </row>
    <row r="15" spans="1:7" x14ac:dyDescent="0.35">
      <c r="A15" s="23"/>
      <c r="B15" s="35"/>
      <c r="C15" s="36"/>
      <c r="D15" s="35" t="str">
        <f t="shared" si="0"/>
        <v/>
      </c>
      <c r="E15" s="36" t="str">
        <f>IF($C15="","",$E$4*3.5*'Daily Analysis'!$B$4/200*$C15)</f>
        <v/>
      </c>
      <c r="F15" s="36"/>
      <c r="G15" s="17"/>
    </row>
    <row r="16" spans="1:7" x14ac:dyDescent="0.35">
      <c r="A16" s="37"/>
      <c r="B16" s="39"/>
      <c r="C16" s="40"/>
      <c r="D16" s="39" t="str">
        <f t="shared" si="0"/>
        <v/>
      </c>
      <c r="E16" s="40" t="str">
        <f>IF($C16="","",$E$4*3.5*'Daily Analysis'!$B$4/200*$C16)</f>
        <v/>
      </c>
      <c r="F16" s="40"/>
      <c r="G16" s="38"/>
    </row>
    <row r="17" spans="1:7" x14ac:dyDescent="0.35">
      <c r="A17" s="23"/>
      <c r="B17" s="35"/>
      <c r="C17" s="36"/>
      <c r="D17" s="35" t="str">
        <f t="shared" si="0"/>
        <v/>
      </c>
      <c r="E17" s="36" t="str">
        <f>IF($C17="","",$E$4*3.5*'Daily Analysis'!$B$4/200*$C17)</f>
        <v/>
      </c>
      <c r="F17" s="36"/>
      <c r="G17" s="17"/>
    </row>
    <row r="18" spans="1:7" x14ac:dyDescent="0.35">
      <c r="A18" s="37"/>
      <c r="B18" s="39"/>
      <c r="C18" s="40"/>
      <c r="D18" s="39" t="str">
        <f t="shared" si="0"/>
        <v/>
      </c>
      <c r="E18" s="40" t="str">
        <f>IF($C18="","",$E$4*3.5*'Daily Analysis'!$B$4/200*$C18)</f>
        <v/>
      </c>
      <c r="F18" s="40"/>
      <c r="G18" s="38"/>
    </row>
    <row r="19" spans="1:7" x14ac:dyDescent="0.35">
      <c r="A19" s="23"/>
      <c r="B19" s="35"/>
      <c r="C19" s="36"/>
      <c r="D19" s="35" t="str">
        <f t="shared" si="0"/>
        <v/>
      </c>
      <c r="E19" s="36" t="str">
        <f>IF($C19="","",$E$4*3.5*'Daily Analysis'!$B$4/200*$C19)</f>
        <v/>
      </c>
      <c r="F19" s="36"/>
      <c r="G19" s="17"/>
    </row>
    <row r="20" spans="1:7" x14ac:dyDescent="0.35">
      <c r="A20" s="37"/>
      <c r="B20" s="39"/>
      <c r="C20" s="40"/>
      <c r="D20" s="39" t="str">
        <f t="shared" si="0"/>
        <v/>
      </c>
      <c r="E20" s="40" t="str">
        <f>IF($C20="","",$E$4*3.5*'Daily Analysis'!$B$4/200*$C20)</f>
        <v/>
      </c>
      <c r="F20" s="40"/>
      <c r="G20" s="38"/>
    </row>
    <row r="21" spans="1:7" x14ac:dyDescent="0.35">
      <c r="A21" s="23"/>
      <c r="B21" s="35"/>
      <c r="C21" s="36"/>
      <c r="D21" s="35" t="str">
        <f t="shared" si="0"/>
        <v/>
      </c>
      <c r="E21" s="36" t="str">
        <f>IF($C21="","",$E$4*3.5*'Daily Analysis'!$B$4/200*$C21)</f>
        <v/>
      </c>
      <c r="F21" s="36"/>
      <c r="G21" s="17"/>
    </row>
    <row r="22" spans="1:7" x14ac:dyDescent="0.35">
      <c r="A22" s="37"/>
      <c r="B22" s="39"/>
      <c r="C22" s="40"/>
      <c r="D22" s="39" t="str">
        <f t="shared" si="0"/>
        <v/>
      </c>
      <c r="E22" s="40" t="str">
        <f>IF($C22="","",$E$4*3.5*'Daily Analysis'!$B$4/200*$C22)</f>
        <v/>
      </c>
      <c r="F22" s="40"/>
      <c r="G22" s="38"/>
    </row>
    <row r="23" spans="1:7" x14ac:dyDescent="0.35">
      <c r="A23" s="23"/>
      <c r="B23" s="35"/>
      <c r="C23" s="36"/>
      <c r="D23" s="35" t="str">
        <f t="shared" si="0"/>
        <v/>
      </c>
      <c r="E23" s="36" t="str">
        <f>IF($C23="","",$E$4*3.5*'Daily Analysis'!$B$4/200*$C23)</f>
        <v/>
      </c>
      <c r="F23" s="36"/>
      <c r="G23" s="17"/>
    </row>
    <row r="24" spans="1:7" x14ac:dyDescent="0.35">
      <c r="A24" s="37"/>
      <c r="B24" s="39"/>
      <c r="C24" s="40"/>
      <c r="D24" s="39" t="str">
        <f t="shared" si="0"/>
        <v/>
      </c>
      <c r="E24" s="40" t="str">
        <f>IF($C24="","",$E$4*3.5*'Daily Analysis'!$B$4/200*$C24)</f>
        <v/>
      </c>
      <c r="F24" s="40"/>
      <c r="G24" s="38"/>
    </row>
    <row r="25" spans="1:7" x14ac:dyDescent="0.35">
      <c r="A25" s="23"/>
      <c r="B25" s="35"/>
      <c r="C25" s="36"/>
      <c r="D25" s="35" t="str">
        <f t="shared" si="0"/>
        <v/>
      </c>
      <c r="E25" s="36" t="str">
        <f>IF($C25="","",$E$4*3.5*'Daily Analysis'!$B$4/200*$C25)</f>
        <v/>
      </c>
      <c r="F25" s="36"/>
      <c r="G25" s="17"/>
    </row>
    <row r="26" spans="1:7" x14ac:dyDescent="0.35">
      <c r="A26" s="37"/>
      <c r="B26" s="39"/>
      <c r="C26" s="40"/>
      <c r="D26" s="39" t="str">
        <f t="shared" si="0"/>
        <v/>
      </c>
      <c r="E26" s="40" t="str">
        <f>IF($C26="","",$E$4*3.5*'Daily Analysis'!$B$4/200*$C26)</f>
        <v/>
      </c>
      <c r="F26" s="40"/>
      <c r="G26" s="38"/>
    </row>
    <row r="27" spans="1:7" x14ac:dyDescent="0.35">
      <c r="A27" s="23"/>
      <c r="B27" s="35"/>
      <c r="C27" s="36"/>
      <c r="D27" s="35" t="str">
        <f t="shared" si="0"/>
        <v/>
      </c>
      <c r="E27" s="36" t="str">
        <f>IF($C27="","",$E$4*3.5*'Daily Analysis'!$B$4/200*$C27)</f>
        <v/>
      </c>
      <c r="F27" s="36"/>
      <c r="G27" s="17"/>
    </row>
    <row r="28" spans="1:7" x14ac:dyDescent="0.35">
      <c r="A28" s="37"/>
      <c r="B28" s="39"/>
      <c r="C28" s="40"/>
      <c r="D28" s="39" t="str">
        <f t="shared" si="0"/>
        <v/>
      </c>
      <c r="E28" s="40" t="str">
        <f>IF($C28="","",$E$4*3.5*'Daily Analysis'!$B$4/200*$C28)</f>
        <v/>
      </c>
      <c r="F28" s="40"/>
      <c r="G28" s="38"/>
    </row>
    <row r="29" spans="1:7" x14ac:dyDescent="0.35">
      <c r="A29" s="23"/>
      <c r="B29" s="35"/>
      <c r="C29" s="36"/>
      <c r="D29" s="35" t="str">
        <f t="shared" si="0"/>
        <v/>
      </c>
      <c r="E29" s="36" t="str">
        <f>IF($C29="","",$E$4*3.5*'Daily Analysis'!$B$4/200*$C29)</f>
        <v/>
      </c>
      <c r="F29" s="36"/>
      <c r="G29" s="17"/>
    </row>
    <row r="30" spans="1:7" x14ac:dyDescent="0.35">
      <c r="A30" s="37"/>
      <c r="B30" s="39"/>
      <c r="C30" s="40"/>
      <c r="D30" s="39" t="str">
        <f t="shared" si="0"/>
        <v/>
      </c>
      <c r="E30" s="40" t="str">
        <f>IF($C30="","",$E$4*3.5*'Daily Analysis'!$B$4/200*$C30)</f>
        <v/>
      </c>
      <c r="F30" s="40"/>
      <c r="G30" s="38"/>
    </row>
    <row r="31" spans="1:7" x14ac:dyDescent="0.35">
      <c r="A31" s="23"/>
      <c r="B31" s="35"/>
      <c r="C31" s="36"/>
      <c r="D31" s="35" t="str">
        <f t="shared" si="0"/>
        <v/>
      </c>
      <c r="E31" s="36" t="str">
        <f>IF($C31="","",$E$4*3.5*'Daily Analysis'!$B$4/200*$C31)</f>
        <v/>
      </c>
      <c r="F31" s="36"/>
      <c r="G31" s="17"/>
    </row>
    <row r="32" spans="1:7" x14ac:dyDescent="0.35">
      <c r="A32" s="37"/>
      <c r="B32" s="39"/>
      <c r="C32" s="40"/>
      <c r="D32" s="39" t="str">
        <f t="shared" si="0"/>
        <v/>
      </c>
      <c r="E32" s="40" t="str">
        <f>IF($C32="","",$E$4*3.5*'Daily Analysis'!$B$4/200*$C32)</f>
        <v/>
      </c>
      <c r="F32" s="40"/>
      <c r="G32" s="38"/>
    </row>
    <row r="33" spans="1:7" x14ac:dyDescent="0.35">
      <c r="A33" s="23"/>
      <c r="B33" s="35"/>
      <c r="C33" s="36"/>
      <c r="D33" s="35" t="str">
        <f t="shared" si="0"/>
        <v/>
      </c>
      <c r="E33" s="36" t="str">
        <f>IF($C33="","",$E$4*3.5*'Daily Analysis'!$B$4/200*$C33)</f>
        <v/>
      </c>
      <c r="F33" s="36"/>
      <c r="G33" s="17"/>
    </row>
    <row r="34" spans="1:7" x14ac:dyDescent="0.35">
      <c r="A34" s="37"/>
      <c r="B34" s="39"/>
      <c r="C34" s="40"/>
      <c r="D34" s="39" t="str">
        <f t="shared" si="0"/>
        <v/>
      </c>
      <c r="E34" s="40" t="str">
        <f>IF($C34="","",$E$4*3.5*'Daily Analysis'!$B$4/200*$C34)</f>
        <v/>
      </c>
      <c r="F34" s="40"/>
      <c r="G34" s="38"/>
    </row>
    <row r="35" spans="1:7" x14ac:dyDescent="0.35">
      <c r="A35" s="23"/>
      <c r="B35" s="35"/>
      <c r="C35" s="36"/>
      <c r="D35" s="35" t="str">
        <f t="shared" si="0"/>
        <v/>
      </c>
      <c r="E35" s="36" t="str">
        <f>IF($C35="","",$E$4*3.5*'Daily Analysis'!$B$4/200*$C35)</f>
        <v/>
      </c>
      <c r="F35" s="36"/>
      <c r="G35" s="17"/>
    </row>
    <row r="36" spans="1:7" x14ac:dyDescent="0.35">
      <c r="A36" s="37"/>
      <c r="B36" s="39"/>
      <c r="C36" s="40"/>
      <c r="D36" s="39" t="str">
        <f t="shared" si="0"/>
        <v/>
      </c>
      <c r="E36" s="40" t="str">
        <f>IF($C36="","",$E$4*3.5*'Daily Analysis'!$B$4/200*$C36)</f>
        <v/>
      </c>
      <c r="F36" s="40"/>
      <c r="G36" s="38"/>
    </row>
    <row r="37" spans="1:7" x14ac:dyDescent="0.35">
      <c r="A37" s="23"/>
      <c r="B37" s="35"/>
      <c r="C37" s="36"/>
      <c r="D37" s="35" t="str">
        <f t="shared" si="0"/>
        <v/>
      </c>
      <c r="E37" s="36" t="str">
        <f>IF($C37="","",$E$4*3.5*'Daily Analysis'!$B$4/200*$C37)</f>
        <v/>
      </c>
      <c r="F37" s="36"/>
      <c r="G37" s="17"/>
    </row>
    <row r="38" spans="1:7" x14ac:dyDescent="0.35">
      <c r="A38" s="37"/>
      <c r="B38" s="39"/>
      <c r="C38" s="40"/>
      <c r="D38" s="39" t="str">
        <f t="shared" si="0"/>
        <v/>
      </c>
      <c r="E38" s="40" t="str">
        <f>IF($C38="","",$E$4*3.5*'Daily Analysis'!$B$4/200*$C38)</f>
        <v/>
      </c>
      <c r="F38" s="40"/>
      <c r="G38" s="38"/>
    </row>
    <row r="39" spans="1:7" x14ac:dyDescent="0.35">
      <c r="A39" s="23"/>
      <c r="B39" s="35"/>
      <c r="C39" s="36"/>
      <c r="D39" s="35" t="str">
        <f t="shared" si="0"/>
        <v/>
      </c>
      <c r="E39" s="36" t="str">
        <f>IF($C39="","",$E$4*3.5*'Daily Analysis'!$B$4/200*$C39)</f>
        <v/>
      </c>
      <c r="F39" s="36"/>
      <c r="G39" s="17"/>
    </row>
    <row r="40" spans="1:7" x14ac:dyDescent="0.35">
      <c r="A40" s="37"/>
      <c r="B40" s="39"/>
      <c r="C40" s="40"/>
      <c r="D40" s="39" t="str">
        <f t="shared" si="0"/>
        <v/>
      </c>
      <c r="E40" s="40" t="str">
        <f>IF($C40="","",$E$4*3.5*'Daily Analysis'!$B$4/200*$C40)</f>
        <v/>
      </c>
      <c r="F40" s="40"/>
      <c r="G40" s="38"/>
    </row>
    <row r="41" spans="1:7" x14ac:dyDescent="0.35">
      <c r="A41" s="23"/>
      <c r="B41" s="35"/>
      <c r="C41" s="36"/>
      <c r="D41" s="35" t="str">
        <f t="shared" si="0"/>
        <v/>
      </c>
      <c r="E41" s="36" t="str">
        <f>IF($C41="","",$E$4*3.5*'Daily Analysis'!$B$4/200*$C41)</f>
        <v/>
      </c>
      <c r="F41" s="36"/>
      <c r="G41" s="17"/>
    </row>
    <row r="42" spans="1:7" x14ac:dyDescent="0.35">
      <c r="A42" s="37"/>
      <c r="B42" s="39"/>
      <c r="C42" s="40"/>
      <c r="D42" s="39" t="str">
        <f t="shared" si="0"/>
        <v/>
      </c>
      <c r="E42" s="40" t="str">
        <f>IF($C42="","",$E$4*3.5*'Daily Analysis'!$B$4/200*$C42)</f>
        <v/>
      </c>
      <c r="F42" s="40"/>
      <c r="G42" s="38"/>
    </row>
    <row r="43" spans="1:7" x14ac:dyDescent="0.35">
      <c r="A43" s="23"/>
      <c r="B43" s="35"/>
      <c r="C43" s="36"/>
      <c r="D43" s="35" t="str">
        <f t="shared" si="0"/>
        <v/>
      </c>
      <c r="E43" s="36" t="str">
        <f>IF($C43="","",$E$4*3.5*'Daily Analysis'!$B$4/200*$C43)</f>
        <v/>
      </c>
      <c r="F43" s="36"/>
      <c r="G43" s="17"/>
    </row>
    <row r="44" spans="1:7" x14ac:dyDescent="0.35">
      <c r="A44" s="37"/>
      <c r="B44" s="39"/>
      <c r="C44" s="40"/>
      <c r="D44" s="39" t="str">
        <f t="shared" si="0"/>
        <v/>
      </c>
      <c r="E44" s="40" t="str">
        <f>IF($C44="","",$E$4*3.5*'Daily Analysis'!$B$4/200*$C44)</f>
        <v/>
      </c>
      <c r="F44" s="40"/>
      <c r="G44" s="38"/>
    </row>
    <row r="45" spans="1:7" x14ac:dyDescent="0.35">
      <c r="A45" s="23"/>
      <c r="B45" s="35"/>
      <c r="C45" s="36"/>
      <c r="D45" s="35" t="str">
        <f t="shared" ref="D45:D62" si="1">IF(OR($B45="",$C45="",$C45=0),"",$B45/($C45/60))</f>
        <v/>
      </c>
      <c r="E45" s="36" t="str">
        <f>IF($C45="","",$E$4*3.5*'Daily Analysis'!$B$4/200*$C45)</f>
        <v/>
      </c>
      <c r="F45" s="36"/>
      <c r="G45" s="17"/>
    </row>
    <row r="46" spans="1:7" x14ac:dyDescent="0.35">
      <c r="A46" s="37"/>
      <c r="B46" s="39"/>
      <c r="C46" s="40"/>
      <c r="D46" s="39" t="str">
        <f t="shared" si="1"/>
        <v/>
      </c>
      <c r="E46" s="40" t="str">
        <f>IF($C46="","",$E$4*3.5*'Daily Analysis'!$B$4/200*$C46)</f>
        <v/>
      </c>
      <c r="F46" s="40"/>
      <c r="G46" s="38"/>
    </row>
    <row r="47" spans="1:7" x14ac:dyDescent="0.35">
      <c r="A47" s="23"/>
      <c r="B47" s="35"/>
      <c r="C47" s="36"/>
      <c r="D47" s="35" t="str">
        <f t="shared" si="1"/>
        <v/>
      </c>
      <c r="E47" s="36" t="str">
        <f>IF($C47="","",$E$4*3.5*'Daily Analysis'!$B$4/200*$C47)</f>
        <v/>
      </c>
      <c r="F47" s="36"/>
      <c r="G47" s="17"/>
    </row>
    <row r="48" spans="1:7" x14ac:dyDescent="0.35">
      <c r="A48" s="37"/>
      <c r="B48" s="39"/>
      <c r="C48" s="40"/>
      <c r="D48" s="39" t="str">
        <f t="shared" si="1"/>
        <v/>
      </c>
      <c r="E48" s="40" t="str">
        <f>IF($C48="","",$E$4*3.5*'Daily Analysis'!$B$4/200*$C48)</f>
        <v/>
      </c>
      <c r="F48" s="40"/>
      <c r="G48" s="38"/>
    </row>
    <row r="49" spans="1:7" x14ac:dyDescent="0.35">
      <c r="A49" s="23"/>
      <c r="B49" s="35"/>
      <c r="C49" s="36"/>
      <c r="D49" s="35" t="str">
        <f t="shared" si="1"/>
        <v/>
      </c>
      <c r="E49" s="36" t="str">
        <f>IF($C49="","",$E$4*3.5*'Daily Analysis'!$B$4/200*$C49)</f>
        <v/>
      </c>
      <c r="F49" s="36"/>
      <c r="G49" s="17"/>
    </row>
    <row r="50" spans="1:7" x14ac:dyDescent="0.35">
      <c r="A50" s="37"/>
      <c r="B50" s="39"/>
      <c r="C50" s="40"/>
      <c r="D50" s="39" t="str">
        <f t="shared" si="1"/>
        <v/>
      </c>
      <c r="E50" s="40" t="str">
        <f>IF($C50="","",$E$4*3.5*'Daily Analysis'!$B$4/200*$C50)</f>
        <v/>
      </c>
      <c r="F50" s="40"/>
      <c r="G50" s="38"/>
    </row>
    <row r="51" spans="1:7" x14ac:dyDescent="0.35">
      <c r="A51" s="23"/>
      <c r="B51" s="35"/>
      <c r="C51" s="36"/>
      <c r="D51" s="35" t="str">
        <f t="shared" si="1"/>
        <v/>
      </c>
      <c r="E51" s="36" t="str">
        <f>IF($C51="","",$E$4*3.5*'Daily Analysis'!$B$4/200*$C51)</f>
        <v/>
      </c>
      <c r="F51" s="36"/>
      <c r="G51" s="17"/>
    </row>
    <row r="52" spans="1:7" x14ac:dyDescent="0.35">
      <c r="A52" s="37"/>
      <c r="B52" s="39"/>
      <c r="C52" s="40"/>
      <c r="D52" s="39" t="str">
        <f t="shared" si="1"/>
        <v/>
      </c>
      <c r="E52" s="40" t="str">
        <f>IF($C52="","",$E$4*3.5*'Daily Analysis'!$B$4/200*$C52)</f>
        <v/>
      </c>
      <c r="F52" s="40"/>
      <c r="G52" s="38"/>
    </row>
    <row r="53" spans="1:7" x14ac:dyDescent="0.35">
      <c r="A53" s="23"/>
      <c r="B53" s="35"/>
      <c r="C53" s="36"/>
      <c r="D53" s="35" t="str">
        <f t="shared" si="1"/>
        <v/>
      </c>
      <c r="E53" s="36" t="str">
        <f>IF($C53="","",$E$4*3.5*'Daily Analysis'!$B$4/200*$C53)</f>
        <v/>
      </c>
      <c r="F53" s="36"/>
      <c r="G53" s="17"/>
    </row>
    <row r="54" spans="1:7" x14ac:dyDescent="0.35">
      <c r="A54" s="37"/>
      <c r="B54" s="39"/>
      <c r="C54" s="40"/>
      <c r="D54" s="39" t="str">
        <f t="shared" si="1"/>
        <v/>
      </c>
      <c r="E54" s="40" t="str">
        <f>IF($C54="","",$E$4*3.5*'Daily Analysis'!$B$4/200*$C54)</f>
        <v/>
      </c>
      <c r="F54" s="40"/>
      <c r="G54" s="38"/>
    </row>
    <row r="55" spans="1:7" x14ac:dyDescent="0.35">
      <c r="A55" s="23"/>
      <c r="B55" s="35"/>
      <c r="C55" s="36"/>
      <c r="D55" s="35" t="str">
        <f t="shared" si="1"/>
        <v/>
      </c>
      <c r="E55" s="36" t="str">
        <f>IF($C55="","",$E$4*3.5*'Daily Analysis'!$B$4/200*$C55)</f>
        <v/>
      </c>
      <c r="F55" s="36"/>
      <c r="G55" s="17"/>
    </row>
    <row r="56" spans="1:7" x14ac:dyDescent="0.35">
      <c r="A56" s="37"/>
      <c r="B56" s="39"/>
      <c r="C56" s="40"/>
      <c r="D56" s="39" t="str">
        <f t="shared" si="1"/>
        <v/>
      </c>
      <c r="E56" s="40" t="str">
        <f>IF($C56="","",$E$4*3.5*'Daily Analysis'!$B$4/200*$C56)</f>
        <v/>
      </c>
      <c r="F56" s="40"/>
      <c r="G56" s="38"/>
    </row>
    <row r="57" spans="1:7" x14ac:dyDescent="0.35">
      <c r="A57" s="23"/>
      <c r="B57" s="35"/>
      <c r="C57" s="36"/>
      <c r="D57" s="35" t="str">
        <f t="shared" si="1"/>
        <v/>
      </c>
      <c r="E57" s="36" t="str">
        <f>IF($C57="","",$E$4*3.5*'Daily Analysis'!$B$4/200*$C57)</f>
        <v/>
      </c>
      <c r="F57" s="36"/>
      <c r="G57" s="17"/>
    </row>
    <row r="58" spans="1:7" x14ac:dyDescent="0.35">
      <c r="A58" s="37"/>
      <c r="B58" s="39"/>
      <c r="C58" s="40"/>
      <c r="D58" s="39" t="str">
        <f t="shared" si="1"/>
        <v/>
      </c>
      <c r="E58" s="40" t="str">
        <f>IF($C58="","",$E$4*3.5*'Daily Analysis'!$B$4/200*$C58)</f>
        <v/>
      </c>
      <c r="F58" s="40"/>
      <c r="G58" s="38"/>
    </row>
    <row r="59" spans="1:7" x14ac:dyDescent="0.35">
      <c r="A59" s="23"/>
      <c r="B59" s="35"/>
      <c r="C59" s="36"/>
      <c r="D59" s="35" t="str">
        <f t="shared" si="1"/>
        <v/>
      </c>
      <c r="E59" s="36" t="str">
        <f>IF($C59="","",$E$4*3.5*'Daily Analysis'!$B$4/200*$C59)</f>
        <v/>
      </c>
      <c r="F59" s="36"/>
      <c r="G59" s="17"/>
    </row>
    <row r="60" spans="1:7" x14ac:dyDescent="0.35">
      <c r="A60" s="37"/>
      <c r="B60" s="39"/>
      <c r="C60" s="40"/>
      <c r="D60" s="39" t="str">
        <f t="shared" si="1"/>
        <v/>
      </c>
      <c r="E60" s="40" t="str">
        <f>IF($C60="","",$E$4*3.5*'Daily Analysis'!$B$4/200*$C60)</f>
        <v/>
      </c>
      <c r="F60" s="40"/>
      <c r="G60" s="38"/>
    </row>
    <row r="61" spans="1:7" x14ac:dyDescent="0.35">
      <c r="A61" s="23"/>
      <c r="B61" s="35"/>
      <c r="C61" s="36"/>
      <c r="D61" s="35" t="str">
        <f t="shared" si="1"/>
        <v/>
      </c>
      <c r="E61" s="36" t="str">
        <f>IF($C61="","",$E$4*3.5*'Daily Analysis'!$B$4/200*$C61)</f>
        <v/>
      </c>
      <c r="F61" s="36"/>
      <c r="G61" s="17"/>
    </row>
    <row r="62" spans="1:7" x14ac:dyDescent="0.35">
      <c r="A62" s="37"/>
      <c r="B62" s="39"/>
      <c r="C62" s="40"/>
      <c r="D62" s="39" t="str">
        <f t="shared" si="1"/>
        <v/>
      </c>
      <c r="E62" s="40" t="str">
        <f>IF($C62="","",$E$4*3.5*'Daily Analysis'!$B$4/200*$C62)</f>
        <v/>
      </c>
      <c r="F62" s="40"/>
      <c r="G62" s="38"/>
    </row>
  </sheetData>
  <mergeCells count="2">
    <mergeCell ref="A1:G1"/>
    <mergeCell ref="A2:G2"/>
  </mergeCells>
  <dataValidations count="1">
    <dataValidation type="whole" allowBlank="1" sqref="F13:F62" xr:uid="{00000000-0002-0000-0600-000000000000}">
      <formula1>1</formula1>
      <formula2>10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2"/>
  <sheetViews>
    <sheetView zoomScaleNormal="100" workbookViewId="0">
      <pane ySplit="12" topLeftCell="A13" activePane="bottomLeft" state="frozen"/>
      <selection pane="bottomLeft"/>
    </sheetView>
  </sheetViews>
  <sheetFormatPr defaultColWidth="8.6328125" defaultRowHeight="14.5" x14ac:dyDescent="0.35"/>
  <cols>
    <col min="1" max="1" width="13" customWidth="1"/>
    <col min="2" max="5" width="11" customWidth="1"/>
    <col min="6" max="6" width="18" customWidth="1"/>
  </cols>
  <sheetData>
    <row r="1" spans="1:6" ht="30" customHeight="1" x14ac:dyDescent="0.35">
      <c r="A1" s="2" t="s">
        <v>82</v>
      </c>
      <c r="B1" s="2"/>
      <c r="C1" s="2"/>
      <c r="D1" s="2"/>
      <c r="E1" s="2"/>
      <c r="F1" s="2"/>
    </row>
    <row r="2" spans="1:6" x14ac:dyDescent="0.35">
      <c r="A2" s="9" t="s">
        <v>32</v>
      </c>
      <c r="B2" s="9"/>
      <c r="C2" s="9"/>
      <c r="D2" s="9"/>
      <c r="E2" s="9"/>
      <c r="F2" s="9"/>
    </row>
    <row r="4" spans="1:6" x14ac:dyDescent="0.35">
      <c r="A4" s="11" t="s">
        <v>33</v>
      </c>
      <c r="D4" s="12" t="s">
        <v>83</v>
      </c>
      <c r="E4" s="13">
        <v>6.5</v>
      </c>
    </row>
    <row r="5" spans="1:6" x14ac:dyDescent="0.35">
      <c r="A5" s="12" t="s">
        <v>13</v>
      </c>
      <c r="B5" s="15">
        <f>COUNT(A13:A62)</f>
        <v>0</v>
      </c>
    </row>
    <row r="6" spans="1:6" x14ac:dyDescent="0.35">
      <c r="A6" s="12" t="s">
        <v>35</v>
      </c>
      <c r="B6" s="15">
        <f>SUM(B13:B62)</f>
        <v>0</v>
      </c>
    </row>
    <row r="7" spans="1:6" x14ac:dyDescent="0.35">
      <c r="A7" s="12" t="s">
        <v>36</v>
      </c>
      <c r="B7" s="31">
        <f>ROUND(SUM(D13:D62),0)</f>
        <v>0</v>
      </c>
    </row>
    <row r="12" spans="1:6" ht="30" customHeight="1" x14ac:dyDescent="0.35">
      <c r="A12" s="53" t="s">
        <v>27</v>
      </c>
      <c r="B12" s="53" t="s">
        <v>50</v>
      </c>
      <c r="C12" s="53" t="s">
        <v>56</v>
      </c>
      <c r="D12" s="53" t="s">
        <v>51</v>
      </c>
      <c r="E12" s="53" t="s">
        <v>52</v>
      </c>
      <c r="F12" s="53" t="s">
        <v>53</v>
      </c>
    </row>
    <row r="13" spans="1:6" x14ac:dyDescent="0.35">
      <c r="A13" s="23"/>
      <c r="B13" s="36"/>
      <c r="C13" s="17"/>
      <c r="D13" s="36" t="str">
        <f>IF($B13="","",$E$4*3.5*'Daily Analysis'!$B$4/200*$B13)</f>
        <v/>
      </c>
      <c r="E13" s="36"/>
      <c r="F13" s="17"/>
    </row>
    <row r="14" spans="1:6" x14ac:dyDescent="0.35">
      <c r="A14" s="37"/>
      <c r="B14" s="40"/>
      <c r="C14" s="38"/>
      <c r="D14" s="40" t="str">
        <f>IF($B14="","",$E$4*3.5*'Daily Analysis'!$B$4/200*$B14)</f>
        <v/>
      </c>
      <c r="E14" s="40"/>
      <c r="F14" s="38"/>
    </row>
    <row r="15" spans="1:6" x14ac:dyDescent="0.35">
      <c r="A15" s="23"/>
      <c r="B15" s="36"/>
      <c r="C15" s="17"/>
      <c r="D15" s="36" t="str">
        <f>IF($B15="","",$E$4*3.5*'Daily Analysis'!$B$4/200*$B15)</f>
        <v/>
      </c>
      <c r="E15" s="36"/>
      <c r="F15" s="17"/>
    </row>
    <row r="16" spans="1:6" x14ac:dyDescent="0.35">
      <c r="A16" s="37"/>
      <c r="B16" s="40"/>
      <c r="C16" s="38"/>
      <c r="D16" s="40" t="str">
        <f>IF($B16="","",$E$4*3.5*'Daily Analysis'!$B$4/200*$B16)</f>
        <v/>
      </c>
      <c r="E16" s="40"/>
      <c r="F16" s="38"/>
    </row>
    <row r="17" spans="1:6" x14ac:dyDescent="0.35">
      <c r="A17" s="23"/>
      <c r="B17" s="36"/>
      <c r="C17" s="17"/>
      <c r="D17" s="36" t="str">
        <f>IF($B17="","",$E$4*3.5*'Daily Analysis'!$B$4/200*$B17)</f>
        <v/>
      </c>
      <c r="E17" s="36"/>
      <c r="F17" s="17"/>
    </row>
    <row r="18" spans="1:6" x14ac:dyDescent="0.35">
      <c r="A18" s="37"/>
      <c r="B18" s="40"/>
      <c r="C18" s="38"/>
      <c r="D18" s="40" t="str">
        <f>IF($B18="","",$E$4*3.5*'Daily Analysis'!$B$4/200*$B18)</f>
        <v/>
      </c>
      <c r="E18" s="40"/>
      <c r="F18" s="38"/>
    </row>
    <row r="19" spans="1:6" x14ac:dyDescent="0.35">
      <c r="A19" s="23"/>
      <c r="B19" s="36"/>
      <c r="C19" s="17"/>
      <c r="D19" s="36" t="str">
        <f>IF($B19="","",$E$4*3.5*'Daily Analysis'!$B$4/200*$B19)</f>
        <v/>
      </c>
      <c r="E19" s="36"/>
      <c r="F19" s="17"/>
    </row>
    <row r="20" spans="1:6" x14ac:dyDescent="0.35">
      <c r="A20" s="37"/>
      <c r="B20" s="40"/>
      <c r="C20" s="38"/>
      <c r="D20" s="40" t="str">
        <f>IF($B20="","",$E$4*3.5*'Daily Analysis'!$B$4/200*$B20)</f>
        <v/>
      </c>
      <c r="E20" s="40"/>
      <c r="F20" s="38"/>
    </row>
    <row r="21" spans="1:6" x14ac:dyDescent="0.35">
      <c r="A21" s="23"/>
      <c r="B21" s="36"/>
      <c r="C21" s="17"/>
      <c r="D21" s="36" t="str">
        <f>IF($B21="","",$E$4*3.5*'Daily Analysis'!$B$4/200*$B21)</f>
        <v/>
      </c>
      <c r="E21" s="36"/>
      <c r="F21" s="17"/>
    </row>
    <row r="22" spans="1:6" x14ac:dyDescent="0.35">
      <c r="A22" s="37"/>
      <c r="B22" s="40"/>
      <c r="C22" s="38"/>
      <c r="D22" s="40" t="str">
        <f>IF($B22="","",$E$4*3.5*'Daily Analysis'!$B$4/200*$B22)</f>
        <v/>
      </c>
      <c r="E22" s="40"/>
      <c r="F22" s="38"/>
    </row>
    <row r="23" spans="1:6" x14ac:dyDescent="0.35">
      <c r="A23" s="23"/>
      <c r="B23" s="36"/>
      <c r="C23" s="17"/>
      <c r="D23" s="36" t="str">
        <f>IF($B23="","",$E$4*3.5*'Daily Analysis'!$B$4/200*$B23)</f>
        <v/>
      </c>
      <c r="E23" s="36"/>
      <c r="F23" s="17"/>
    </row>
    <row r="24" spans="1:6" x14ac:dyDescent="0.35">
      <c r="A24" s="37"/>
      <c r="B24" s="40"/>
      <c r="C24" s="38"/>
      <c r="D24" s="40" t="str">
        <f>IF($B24="","",$E$4*3.5*'Daily Analysis'!$B$4/200*$B24)</f>
        <v/>
      </c>
      <c r="E24" s="40"/>
      <c r="F24" s="38"/>
    </row>
    <row r="25" spans="1:6" x14ac:dyDescent="0.35">
      <c r="A25" s="23"/>
      <c r="B25" s="36"/>
      <c r="C25" s="17"/>
      <c r="D25" s="36" t="str">
        <f>IF($B25="","",$E$4*3.5*'Daily Analysis'!$B$4/200*$B25)</f>
        <v/>
      </c>
      <c r="E25" s="36"/>
      <c r="F25" s="17"/>
    </row>
    <row r="26" spans="1:6" x14ac:dyDescent="0.35">
      <c r="A26" s="37"/>
      <c r="B26" s="40"/>
      <c r="C26" s="38"/>
      <c r="D26" s="40" t="str">
        <f>IF($B26="","",$E$4*3.5*'Daily Analysis'!$B$4/200*$B26)</f>
        <v/>
      </c>
      <c r="E26" s="40"/>
      <c r="F26" s="38"/>
    </row>
    <row r="27" spans="1:6" x14ac:dyDescent="0.35">
      <c r="A27" s="23"/>
      <c r="B27" s="36"/>
      <c r="C27" s="17"/>
      <c r="D27" s="36" t="str">
        <f>IF($B27="","",$E$4*3.5*'Daily Analysis'!$B$4/200*$B27)</f>
        <v/>
      </c>
      <c r="E27" s="36"/>
      <c r="F27" s="17"/>
    </row>
    <row r="28" spans="1:6" x14ac:dyDescent="0.35">
      <c r="A28" s="37"/>
      <c r="B28" s="40"/>
      <c r="C28" s="38"/>
      <c r="D28" s="40" t="str">
        <f>IF($B28="","",$E$4*3.5*'Daily Analysis'!$B$4/200*$B28)</f>
        <v/>
      </c>
      <c r="E28" s="40"/>
      <c r="F28" s="38"/>
    </row>
    <row r="29" spans="1:6" x14ac:dyDescent="0.35">
      <c r="A29" s="23"/>
      <c r="B29" s="36"/>
      <c r="C29" s="17"/>
      <c r="D29" s="36" t="str">
        <f>IF($B29="","",$E$4*3.5*'Daily Analysis'!$B$4/200*$B29)</f>
        <v/>
      </c>
      <c r="E29" s="36"/>
      <c r="F29" s="17"/>
    </row>
    <row r="30" spans="1:6" x14ac:dyDescent="0.35">
      <c r="A30" s="37"/>
      <c r="B30" s="40"/>
      <c r="C30" s="38"/>
      <c r="D30" s="40" t="str">
        <f>IF($B30="","",$E$4*3.5*'Daily Analysis'!$B$4/200*$B30)</f>
        <v/>
      </c>
      <c r="E30" s="40"/>
      <c r="F30" s="38"/>
    </row>
    <row r="31" spans="1:6" x14ac:dyDescent="0.35">
      <c r="A31" s="23"/>
      <c r="B31" s="36"/>
      <c r="C31" s="17"/>
      <c r="D31" s="36" t="str">
        <f>IF($B31="","",$E$4*3.5*'Daily Analysis'!$B$4/200*$B31)</f>
        <v/>
      </c>
      <c r="E31" s="36"/>
      <c r="F31" s="17"/>
    </row>
    <row r="32" spans="1:6" x14ac:dyDescent="0.35">
      <c r="A32" s="37"/>
      <c r="B32" s="40"/>
      <c r="C32" s="38"/>
      <c r="D32" s="40" t="str">
        <f>IF($B32="","",$E$4*3.5*'Daily Analysis'!$B$4/200*$B32)</f>
        <v/>
      </c>
      <c r="E32" s="40"/>
      <c r="F32" s="38"/>
    </row>
    <row r="33" spans="1:6" x14ac:dyDescent="0.35">
      <c r="A33" s="23"/>
      <c r="B33" s="36"/>
      <c r="C33" s="17"/>
      <c r="D33" s="36" t="str">
        <f>IF($B33="","",$E$4*3.5*'Daily Analysis'!$B$4/200*$B33)</f>
        <v/>
      </c>
      <c r="E33" s="36"/>
      <c r="F33" s="17"/>
    </row>
    <row r="34" spans="1:6" x14ac:dyDescent="0.35">
      <c r="A34" s="37"/>
      <c r="B34" s="40"/>
      <c r="C34" s="38"/>
      <c r="D34" s="40" t="str">
        <f>IF($B34="","",$E$4*3.5*'Daily Analysis'!$B$4/200*$B34)</f>
        <v/>
      </c>
      <c r="E34" s="40"/>
      <c r="F34" s="38"/>
    </row>
    <row r="35" spans="1:6" x14ac:dyDescent="0.35">
      <c r="A35" s="23"/>
      <c r="B35" s="36"/>
      <c r="C35" s="17"/>
      <c r="D35" s="36" t="str">
        <f>IF($B35="","",$E$4*3.5*'Daily Analysis'!$B$4/200*$B35)</f>
        <v/>
      </c>
      <c r="E35" s="36"/>
      <c r="F35" s="17"/>
    </row>
    <row r="36" spans="1:6" x14ac:dyDescent="0.35">
      <c r="A36" s="37"/>
      <c r="B36" s="40"/>
      <c r="C36" s="38"/>
      <c r="D36" s="40" t="str">
        <f>IF($B36="","",$E$4*3.5*'Daily Analysis'!$B$4/200*$B36)</f>
        <v/>
      </c>
      <c r="E36" s="40"/>
      <c r="F36" s="38"/>
    </row>
    <row r="37" spans="1:6" x14ac:dyDescent="0.35">
      <c r="A37" s="23"/>
      <c r="B37" s="36"/>
      <c r="C37" s="17"/>
      <c r="D37" s="36" t="str">
        <f>IF($B37="","",$E$4*3.5*'Daily Analysis'!$B$4/200*$B37)</f>
        <v/>
      </c>
      <c r="E37" s="36"/>
      <c r="F37" s="17"/>
    </row>
    <row r="38" spans="1:6" x14ac:dyDescent="0.35">
      <c r="A38" s="37"/>
      <c r="B38" s="40"/>
      <c r="C38" s="38"/>
      <c r="D38" s="40" t="str">
        <f>IF($B38="","",$E$4*3.5*'Daily Analysis'!$B$4/200*$B38)</f>
        <v/>
      </c>
      <c r="E38" s="40"/>
      <c r="F38" s="38"/>
    </row>
    <row r="39" spans="1:6" x14ac:dyDescent="0.35">
      <c r="A39" s="23"/>
      <c r="B39" s="36"/>
      <c r="C39" s="17"/>
      <c r="D39" s="36" t="str">
        <f>IF($B39="","",$E$4*3.5*'Daily Analysis'!$B$4/200*$B39)</f>
        <v/>
      </c>
      <c r="E39" s="36"/>
      <c r="F39" s="17"/>
    </row>
    <row r="40" spans="1:6" x14ac:dyDescent="0.35">
      <c r="A40" s="37"/>
      <c r="B40" s="40"/>
      <c r="C40" s="38"/>
      <c r="D40" s="40" t="str">
        <f>IF($B40="","",$E$4*3.5*'Daily Analysis'!$B$4/200*$B40)</f>
        <v/>
      </c>
      <c r="E40" s="40"/>
      <c r="F40" s="38"/>
    </row>
    <row r="41" spans="1:6" x14ac:dyDescent="0.35">
      <c r="A41" s="23"/>
      <c r="B41" s="36"/>
      <c r="C41" s="17"/>
      <c r="D41" s="36" t="str">
        <f>IF($B41="","",$E$4*3.5*'Daily Analysis'!$B$4/200*$B41)</f>
        <v/>
      </c>
      <c r="E41" s="36"/>
      <c r="F41" s="17"/>
    </row>
    <row r="42" spans="1:6" x14ac:dyDescent="0.35">
      <c r="A42" s="37"/>
      <c r="B42" s="40"/>
      <c r="C42" s="38"/>
      <c r="D42" s="40" t="str">
        <f>IF($B42="","",$E$4*3.5*'Daily Analysis'!$B$4/200*$B42)</f>
        <v/>
      </c>
      <c r="E42" s="40"/>
      <c r="F42" s="38"/>
    </row>
    <row r="43" spans="1:6" x14ac:dyDescent="0.35">
      <c r="A43" s="23"/>
      <c r="B43" s="36"/>
      <c r="C43" s="17"/>
      <c r="D43" s="36" t="str">
        <f>IF($B43="","",$E$4*3.5*'Daily Analysis'!$B$4/200*$B43)</f>
        <v/>
      </c>
      <c r="E43" s="36"/>
      <c r="F43" s="17"/>
    </row>
    <row r="44" spans="1:6" x14ac:dyDescent="0.35">
      <c r="A44" s="37"/>
      <c r="B44" s="40"/>
      <c r="C44" s="38"/>
      <c r="D44" s="40" t="str">
        <f>IF($B44="","",$E$4*3.5*'Daily Analysis'!$B$4/200*$B44)</f>
        <v/>
      </c>
      <c r="E44" s="40"/>
      <c r="F44" s="38"/>
    </row>
    <row r="45" spans="1:6" x14ac:dyDescent="0.35">
      <c r="A45" s="23"/>
      <c r="B45" s="36"/>
      <c r="C45" s="17"/>
      <c r="D45" s="36" t="str">
        <f>IF($B45="","",$E$4*3.5*'Daily Analysis'!$B$4/200*$B45)</f>
        <v/>
      </c>
      <c r="E45" s="36"/>
      <c r="F45" s="17"/>
    </row>
    <row r="46" spans="1:6" x14ac:dyDescent="0.35">
      <c r="A46" s="37"/>
      <c r="B46" s="40"/>
      <c r="C46" s="38"/>
      <c r="D46" s="40" t="str">
        <f>IF($B46="","",$E$4*3.5*'Daily Analysis'!$B$4/200*$B46)</f>
        <v/>
      </c>
      <c r="E46" s="40"/>
      <c r="F46" s="38"/>
    </row>
    <row r="47" spans="1:6" x14ac:dyDescent="0.35">
      <c r="A47" s="23"/>
      <c r="B47" s="36"/>
      <c r="C47" s="17"/>
      <c r="D47" s="36" t="str">
        <f>IF($B47="","",$E$4*3.5*'Daily Analysis'!$B$4/200*$B47)</f>
        <v/>
      </c>
      <c r="E47" s="36"/>
      <c r="F47" s="17"/>
    </row>
    <row r="48" spans="1:6" x14ac:dyDescent="0.35">
      <c r="A48" s="37"/>
      <c r="B48" s="40"/>
      <c r="C48" s="38"/>
      <c r="D48" s="40" t="str">
        <f>IF($B48="","",$E$4*3.5*'Daily Analysis'!$B$4/200*$B48)</f>
        <v/>
      </c>
      <c r="E48" s="40"/>
      <c r="F48" s="38"/>
    </row>
    <row r="49" spans="1:6" x14ac:dyDescent="0.35">
      <c r="A49" s="23"/>
      <c r="B49" s="36"/>
      <c r="C49" s="17"/>
      <c r="D49" s="36" t="str">
        <f>IF($B49="","",$E$4*3.5*'Daily Analysis'!$B$4/200*$B49)</f>
        <v/>
      </c>
      <c r="E49" s="36"/>
      <c r="F49" s="17"/>
    </row>
    <row r="50" spans="1:6" x14ac:dyDescent="0.35">
      <c r="A50" s="37"/>
      <c r="B50" s="40"/>
      <c r="C50" s="38"/>
      <c r="D50" s="40" t="str">
        <f>IF($B50="","",$E$4*3.5*'Daily Analysis'!$B$4/200*$B50)</f>
        <v/>
      </c>
      <c r="E50" s="40"/>
      <c r="F50" s="38"/>
    </row>
    <row r="51" spans="1:6" x14ac:dyDescent="0.35">
      <c r="A51" s="23"/>
      <c r="B51" s="36"/>
      <c r="C51" s="17"/>
      <c r="D51" s="36" t="str">
        <f>IF($B51="","",$E$4*3.5*'Daily Analysis'!$B$4/200*$B51)</f>
        <v/>
      </c>
      <c r="E51" s="36"/>
      <c r="F51" s="17"/>
    </row>
    <row r="52" spans="1:6" x14ac:dyDescent="0.35">
      <c r="A52" s="37"/>
      <c r="B52" s="40"/>
      <c r="C52" s="38"/>
      <c r="D52" s="40" t="str">
        <f>IF($B52="","",$E$4*3.5*'Daily Analysis'!$B$4/200*$B52)</f>
        <v/>
      </c>
      <c r="E52" s="40"/>
      <c r="F52" s="38"/>
    </row>
    <row r="53" spans="1:6" x14ac:dyDescent="0.35">
      <c r="A53" s="23"/>
      <c r="B53" s="36"/>
      <c r="C53" s="17"/>
      <c r="D53" s="36" t="str">
        <f>IF($B53="","",$E$4*3.5*'Daily Analysis'!$B$4/200*$B53)</f>
        <v/>
      </c>
      <c r="E53" s="36"/>
      <c r="F53" s="17"/>
    </row>
    <row r="54" spans="1:6" x14ac:dyDescent="0.35">
      <c r="A54" s="37"/>
      <c r="B54" s="40"/>
      <c r="C54" s="38"/>
      <c r="D54" s="40" t="str">
        <f>IF($B54="","",$E$4*3.5*'Daily Analysis'!$B$4/200*$B54)</f>
        <v/>
      </c>
      <c r="E54" s="40"/>
      <c r="F54" s="38"/>
    </row>
    <row r="55" spans="1:6" x14ac:dyDescent="0.35">
      <c r="A55" s="23"/>
      <c r="B55" s="36"/>
      <c r="C55" s="17"/>
      <c r="D55" s="36" t="str">
        <f>IF($B55="","",$E$4*3.5*'Daily Analysis'!$B$4/200*$B55)</f>
        <v/>
      </c>
      <c r="E55" s="36"/>
      <c r="F55" s="17"/>
    </row>
    <row r="56" spans="1:6" x14ac:dyDescent="0.35">
      <c r="A56" s="37"/>
      <c r="B56" s="40"/>
      <c r="C56" s="38"/>
      <c r="D56" s="40" t="str">
        <f>IF($B56="","",$E$4*3.5*'Daily Analysis'!$B$4/200*$B56)</f>
        <v/>
      </c>
      <c r="E56" s="40"/>
      <c r="F56" s="38"/>
    </row>
    <row r="57" spans="1:6" x14ac:dyDescent="0.35">
      <c r="A57" s="23"/>
      <c r="B57" s="36"/>
      <c r="C57" s="17"/>
      <c r="D57" s="36" t="str">
        <f>IF($B57="","",$E$4*3.5*'Daily Analysis'!$B$4/200*$B57)</f>
        <v/>
      </c>
      <c r="E57" s="36"/>
      <c r="F57" s="17"/>
    </row>
    <row r="58" spans="1:6" x14ac:dyDescent="0.35">
      <c r="A58" s="37"/>
      <c r="B58" s="40"/>
      <c r="C58" s="38"/>
      <c r="D58" s="40" t="str">
        <f>IF($B58="","",$E$4*3.5*'Daily Analysis'!$B$4/200*$B58)</f>
        <v/>
      </c>
      <c r="E58" s="40"/>
      <c r="F58" s="38"/>
    </row>
    <row r="59" spans="1:6" x14ac:dyDescent="0.35">
      <c r="A59" s="23"/>
      <c r="B59" s="36"/>
      <c r="C59" s="17"/>
      <c r="D59" s="36" t="str">
        <f>IF($B59="","",$E$4*3.5*'Daily Analysis'!$B$4/200*$B59)</f>
        <v/>
      </c>
      <c r="E59" s="36"/>
      <c r="F59" s="17"/>
    </row>
    <row r="60" spans="1:6" x14ac:dyDescent="0.35">
      <c r="A60" s="37"/>
      <c r="B60" s="40"/>
      <c r="C60" s="38"/>
      <c r="D60" s="40" t="str">
        <f>IF($B60="","",$E$4*3.5*'Daily Analysis'!$B$4/200*$B60)</f>
        <v/>
      </c>
      <c r="E60" s="40"/>
      <c r="F60" s="38"/>
    </row>
    <row r="61" spans="1:6" x14ac:dyDescent="0.35">
      <c r="A61" s="23"/>
      <c r="B61" s="36"/>
      <c r="C61" s="17"/>
      <c r="D61" s="36" t="str">
        <f>IF($B61="","",$E$4*3.5*'Daily Analysis'!$B$4/200*$B61)</f>
        <v/>
      </c>
      <c r="E61" s="36"/>
      <c r="F61" s="17"/>
    </row>
    <row r="62" spans="1:6" x14ac:dyDescent="0.35">
      <c r="A62" s="37"/>
      <c r="B62" s="40"/>
      <c r="C62" s="38"/>
      <c r="D62" s="40" t="str">
        <f>IF($B62="","",$E$4*3.5*'Daily Analysis'!$B$4/200*$B62)</f>
        <v/>
      </c>
      <c r="E62" s="40"/>
      <c r="F62" s="38"/>
    </row>
  </sheetData>
  <mergeCells count="2">
    <mergeCell ref="A1:F1"/>
    <mergeCell ref="A2:F2"/>
  </mergeCells>
  <dataValidations count="2">
    <dataValidation type="whole" allowBlank="1" sqref="E13:E62" xr:uid="{00000000-0002-0000-0700-000000000000}">
      <formula1>1</formula1>
      <formula2>10</formula2>
    </dataValidation>
    <dataValidation type="list" allowBlank="1" sqref="C13:C62" xr:uid="{00000000-0002-0000-0700-000001000000}">
      <formula1>"Drills,Rally,Match,Serve practice,Lesson"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2"/>
  <sheetViews>
    <sheetView zoomScaleNormal="100" workbookViewId="0">
      <pane ySplit="12" topLeftCell="A13" activePane="bottomLeft" state="frozen"/>
      <selection pane="bottomLeft"/>
    </sheetView>
  </sheetViews>
  <sheetFormatPr defaultColWidth="8.6328125" defaultRowHeight="14.5" x14ac:dyDescent="0.35"/>
  <cols>
    <col min="1" max="1" width="13" customWidth="1"/>
    <col min="2" max="5" width="12" customWidth="1"/>
    <col min="6" max="6" width="20" customWidth="1"/>
  </cols>
  <sheetData>
    <row r="1" spans="1:6" ht="30" customHeight="1" x14ac:dyDescent="0.35">
      <c r="A1" s="1" t="s">
        <v>84</v>
      </c>
      <c r="B1" s="1"/>
      <c r="C1" s="1"/>
      <c r="D1" s="1"/>
      <c r="E1" s="1"/>
      <c r="F1" s="1"/>
    </row>
    <row r="2" spans="1:6" x14ac:dyDescent="0.35">
      <c r="A2" s="9" t="s">
        <v>85</v>
      </c>
      <c r="B2" s="9"/>
      <c r="C2" s="9"/>
      <c r="D2" s="9"/>
      <c r="E2" s="9"/>
      <c r="F2" s="9"/>
    </row>
    <row r="4" spans="1:6" x14ac:dyDescent="0.35">
      <c r="A4" s="11" t="s">
        <v>86</v>
      </c>
    </row>
    <row r="5" spans="1:6" x14ac:dyDescent="0.35">
      <c r="A5" s="12" t="s">
        <v>13</v>
      </c>
      <c r="B5" s="15">
        <f>COUNT(A13:A62)</f>
        <v>0</v>
      </c>
      <c r="D5" s="12" t="s">
        <v>87</v>
      </c>
      <c r="E5" s="15" t="str">
        <f>IF(COUNT(C13:C62)=0,"",ROUND(AVERAGE(C13:C62),0))</f>
        <v/>
      </c>
    </row>
    <row r="6" spans="1:6" x14ac:dyDescent="0.35">
      <c r="A6" s="12" t="s">
        <v>35</v>
      </c>
      <c r="B6" s="15">
        <f>SUM(B13:B62)</f>
        <v>0</v>
      </c>
    </row>
    <row r="7" spans="1:6" x14ac:dyDescent="0.35">
      <c r="A7" s="12" t="s">
        <v>88</v>
      </c>
      <c r="B7" s="15">
        <f>IF(B5=0,0,ROUND(B6/B5,0))</f>
        <v>0</v>
      </c>
    </row>
    <row r="12" spans="1:6" ht="30" customHeight="1" x14ac:dyDescent="0.35">
      <c r="A12" s="54" t="s">
        <v>27</v>
      </c>
      <c r="B12" s="54" t="s">
        <v>50</v>
      </c>
      <c r="C12" s="54" t="s">
        <v>89</v>
      </c>
      <c r="D12" s="54" t="s">
        <v>56</v>
      </c>
      <c r="E12" s="54" t="s">
        <v>90</v>
      </c>
      <c r="F12" s="54" t="s">
        <v>53</v>
      </c>
    </row>
    <row r="13" spans="1:6" x14ac:dyDescent="0.35">
      <c r="A13" s="23"/>
      <c r="B13" s="36"/>
      <c r="C13" s="36"/>
      <c r="D13" s="17"/>
      <c r="E13" s="17"/>
      <c r="F13" s="17"/>
    </row>
    <row r="14" spans="1:6" x14ac:dyDescent="0.35">
      <c r="A14" s="37"/>
      <c r="B14" s="40"/>
      <c r="C14" s="40"/>
      <c r="D14" s="38"/>
      <c r="E14" s="38"/>
      <c r="F14" s="38"/>
    </row>
    <row r="15" spans="1:6" x14ac:dyDescent="0.35">
      <c r="A15" s="23"/>
      <c r="B15" s="36"/>
      <c r="C15" s="36"/>
      <c r="D15" s="17"/>
      <c r="E15" s="17"/>
      <c r="F15" s="17"/>
    </row>
    <row r="16" spans="1:6" x14ac:dyDescent="0.35">
      <c r="A16" s="37"/>
      <c r="B16" s="40"/>
      <c r="C16" s="40"/>
      <c r="D16" s="38"/>
      <c r="E16" s="38"/>
      <c r="F16" s="38"/>
    </row>
    <row r="17" spans="1:6" x14ac:dyDescent="0.35">
      <c r="A17" s="23"/>
      <c r="B17" s="36"/>
      <c r="C17" s="36"/>
      <c r="D17" s="17"/>
      <c r="E17" s="17"/>
      <c r="F17" s="17"/>
    </row>
    <row r="18" spans="1:6" x14ac:dyDescent="0.35">
      <c r="A18" s="37"/>
      <c r="B18" s="40"/>
      <c r="C18" s="40"/>
      <c r="D18" s="38"/>
      <c r="E18" s="38"/>
      <c r="F18" s="38"/>
    </row>
    <row r="19" spans="1:6" x14ac:dyDescent="0.35">
      <c r="A19" s="23"/>
      <c r="B19" s="36"/>
      <c r="C19" s="36"/>
      <c r="D19" s="17"/>
      <c r="E19" s="17"/>
      <c r="F19" s="17"/>
    </row>
    <row r="20" spans="1:6" x14ac:dyDescent="0.35">
      <c r="A20" s="37"/>
      <c r="B20" s="40"/>
      <c r="C20" s="40"/>
      <c r="D20" s="38"/>
      <c r="E20" s="38"/>
      <c r="F20" s="38"/>
    </row>
    <row r="21" spans="1:6" x14ac:dyDescent="0.35">
      <c r="A21" s="23"/>
      <c r="B21" s="36"/>
      <c r="C21" s="36"/>
      <c r="D21" s="17"/>
      <c r="E21" s="17"/>
      <c r="F21" s="17"/>
    </row>
    <row r="22" spans="1:6" x14ac:dyDescent="0.35">
      <c r="A22" s="37"/>
      <c r="B22" s="40"/>
      <c r="C22" s="40"/>
      <c r="D22" s="38"/>
      <c r="E22" s="38"/>
      <c r="F22" s="38"/>
    </row>
    <row r="23" spans="1:6" x14ac:dyDescent="0.35">
      <c r="A23" s="23"/>
      <c r="B23" s="36"/>
      <c r="C23" s="36"/>
      <c r="D23" s="17"/>
      <c r="E23" s="17"/>
      <c r="F23" s="17"/>
    </row>
    <row r="24" spans="1:6" x14ac:dyDescent="0.35">
      <c r="A24" s="37"/>
      <c r="B24" s="40"/>
      <c r="C24" s="40"/>
      <c r="D24" s="38"/>
      <c r="E24" s="38"/>
      <c r="F24" s="38"/>
    </row>
    <row r="25" spans="1:6" x14ac:dyDescent="0.35">
      <c r="A25" s="23"/>
      <c r="B25" s="36"/>
      <c r="C25" s="36"/>
      <c r="D25" s="17"/>
      <c r="E25" s="17"/>
      <c r="F25" s="17"/>
    </row>
    <row r="26" spans="1:6" x14ac:dyDescent="0.35">
      <c r="A26" s="37"/>
      <c r="B26" s="40"/>
      <c r="C26" s="40"/>
      <c r="D26" s="38"/>
      <c r="E26" s="38"/>
      <c r="F26" s="38"/>
    </row>
    <row r="27" spans="1:6" x14ac:dyDescent="0.35">
      <c r="A27" s="23"/>
      <c r="B27" s="36"/>
      <c r="C27" s="36"/>
      <c r="D27" s="17"/>
      <c r="E27" s="17"/>
      <c r="F27" s="17"/>
    </row>
    <row r="28" spans="1:6" x14ac:dyDescent="0.35">
      <c r="A28" s="37"/>
      <c r="B28" s="40"/>
      <c r="C28" s="40"/>
      <c r="D28" s="38"/>
      <c r="E28" s="38"/>
      <c r="F28" s="38"/>
    </row>
    <row r="29" spans="1:6" x14ac:dyDescent="0.35">
      <c r="A29" s="23"/>
      <c r="B29" s="36"/>
      <c r="C29" s="36"/>
      <c r="D29" s="17"/>
      <c r="E29" s="17"/>
      <c r="F29" s="17"/>
    </row>
    <row r="30" spans="1:6" x14ac:dyDescent="0.35">
      <c r="A30" s="37"/>
      <c r="B30" s="40"/>
      <c r="C30" s="40"/>
      <c r="D30" s="38"/>
      <c r="E30" s="38"/>
      <c r="F30" s="38"/>
    </row>
    <row r="31" spans="1:6" x14ac:dyDescent="0.35">
      <c r="A31" s="23"/>
      <c r="B31" s="36"/>
      <c r="C31" s="36"/>
      <c r="D31" s="17"/>
      <c r="E31" s="17"/>
      <c r="F31" s="17"/>
    </row>
    <row r="32" spans="1:6" x14ac:dyDescent="0.35">
      <c r="A32" s="37"/>
      <c r="B32" s="40"/>
      <c r="C32" s="40"/>
      <c r="D32" s="38"/>
      <c r="E32" s="38"/>
      <c r="F32" s="38"/>
    </row>
    <row r="33" spans="1:6" x14ac:dyDescent="0.35">
      <c r="A33" s="23"/>
      <c r="B33" s="36"/>
      <c r="C33" s="36"/>
      <c r="D33" s="17"/>
      <c r="E33" s="17"/>
      <c r="F33" s="17"/>
    </row>
    <row r="34" spans="1:6" x14ac:dyDescent="0.35">
      <c r="A34" s="37"/>
      <c r="B34" s="40"/>
      <c r="C34" s="40"/>
      <c r="D34" s="38"/>
      <c r="E34" s="38"/>
      <c r="F34" s="38"/>
    </row>
    <row r="35" spans="1:6" x14ac:dyDescent="0.35">
      <c r="A35" s="23"/>
      <c r="B35" s="36"/>
      <c r="C35" s="36"/>
      <c r="D35" s="17"/>
      <c r="E35" s="17"/>
      <c r="F35" s="17"/>
    </row>
    <row r="36" spans="1:6" x14ac:dyDescent="0.35">
      <c r="A36" s="37"/>
      <c r="B36" s="40"/>
      <c r="C36" s="40"/>
      <c r="D36" s="38"/>
      <c r="E36" s="38"/>
      <c r="F36" s="38"/>
    </row>
    <row r="37" spans="1:6" x14ac:dyDescent="0.35">
      <c r="A37" s="23"/>
      <c r="B37" s="36"/>
      <c r="C37" s="36"/>
      <c r="D37" s="17"/>
      <c r="E37" s="17"/>
      <c r="F37" s="17"/>
    </row>
    <row r="38" spans="1:6" x14ac:dyDescent="0.35">
      <c r="A38" s="37"/>
      <c r="B38" s="40"/>
      <c r="C38" s="40"/>
      <c r="D38" s="38"/>
      <c r="E38" s="38"/>
      <c r="F38" s="38"/>
    </row>
    <row r="39" spans="1:6" x14ac:dyDescent="0.35">
      <c r="A39" s="23"/>
      <c r="B39" s="36"/>
      <c r="C39" s="36"/>
      <c r="D39" s="17"/>
      <c r="E39" s="17"/>
      <c r="F39" s="17"/>
    </row>
    <row r="40" spans="1:6" x14ac:dyDescent="0.35">
      <c r="A40" s="37"/>
      <c r="B40" s="40"/>
      <c r="C40" s="40"/>
      <c r="D40" s="38"/>
      <c r="E40" s="38"/>
      <c r="F40" s="38"/>
    </row>
    <row r="41" spans="1:6" x14ac:dyDescent="0.35">
      <c r="A41" s="23"/>
      <c r="B41" s="36"/>
      <c r="C41" s="36"/>
      <c r="D41" s="17"/>
      <c r="E41" s="17"/>
      <c r="F41" s="17"/>
    </row>
    <row r="42" spans="1:6" x14ac:dyDescent="0.35">
      <c r="A42" s="37"/>
      <c r="B42" s="40"/>
      <c r="C42" s="40"/>
      <c r="D42" s="38"/>
      <c r="E42" s="38"/>
      <c r="F42" s="38"/>
    </row>
    <row r="43" spans="1:6" x14ac:dyDescent="0.35">
      <c r="A43" s="23"/>
      <c r="B43" s="36"/>
      <c r="C43" s="36"/>
      <c r="D43" s="17"/>
      <c r="E43" s="17"/>
      <c r="F43" s="17"/>
    </row>
    <row r="44" spans="1:6" x14ac:dyDescent="0.35">
      <c r="A44" s="37"/>
      <c r="B44" s="40"/>
      <c r="C44" s="40"/>
      <c r="D44" s="38"/>
      <c r="E44" s="38"/>
      <c r="F44" s="38"/>
    </row>
    <row r="45" spans="1:6" x14ac:dyDescent="0.35">
      <c r="A45" s="23"/>
      <c r="B45" s="36"/>
      <c r="C45" s="36"/>
      <c r="D45" s="17"/>
      <c r="E45" s="17"/>
      <c r="F45" s="17"/>
    </row>
    <row r="46" spans="1:6" x14ac:dyDescent="0.35">
      <c r="A46" s="37"/>
      <c r="B46" s="40"/>
      <c r="C46" s="40"/>
      <c r="D46" s="38"/>
      <c r="E46" s="38"/>
      <c r="F46" s="38"/>
    </row>
    <row r="47" spans="1:6" x14ac:dyDescent="0.35">
      <c r="A47" s="23"/>
      <c r="B47" s="36"/>
      <c r="C47" s="36"/>
      <c r="D47" s="17"/>
      <c r="E47" s="17"/>
      <c r="F47" s="17"/>
    </row>
    <row r="48" spans="1:6" x14ac:dyDescent="0.35">
      <c r="A48" s="37"/>
      <c r="B48" s="40"/>
      <c r="C48" s="40"/>
      <c r="D48" s="38"/>
      <c r="E48" s="38"/>
      <c r="F48" s="38"/>
    </row>
    <row r="49" spans="1:6" x14ac:dyDescent="0.35">
      <c r="A49" s="23"/>
      <c r="B49" s="36"/>
      <c r="C49" s="36"/>
      <c r="D49" s="17"/>
      <c r="E49" s="17"/>
      <c r="F49" s="17"/>
    </row>
    <row r="50" spans="1:6" x14ac:dyDescent="0.35">
      <c r="A50" s="37"/>
      <c r="B50" s="40"/>
      <c r="C50" s="40"/>
      <c r="D50" s="38"/>
      <c r="E50" s="38"/>
      <c r="F50" s="38"/>
    </row>
    <row r="51" spans="1:6" x14ac:dyDescent="0.35">
      <c r="A51" s="23"/>
      <c r="B51" s="36"/>
      <c r="C51" s="36"/>
      <c r="D51" s="17"/>
      <c r="E51" s="17"/>
      <c r="F51" s="17"/>
    </row>
    <row r="52" spans="1:6" x14ac:dyDescent="0.35">
      <c r="A52" s="37"/>
      <c r="B52" s="40"/>
      <c r="C52" s="40"/>
      <c r="D52" s="38"/>
      <c r="E52" s="38"/>
      <c r="F52" s="38"/>
    </row>
    <row r="53" spans="1:6" x14ac:dyDescent="0.35">
      <c r="A53" s="23"/>
      <c r="B53" s="36"/>
      <c r="C53" s="36"/>
      <c r="D53" s="17"/>
      <c r="E53" s="17"/>
      <c r="F53" s="17"/>
    </row>
    <row r="54" spans="1:6" x14ac:dyDescent="0.35">
      <c r="A54" s="37"/>
      <c r="B54" s="40"/>
      <c r="C54" s="40"/>
      <c r="D54" s="38"/>
      <c r="E54" s="38"/>
      <c r="F54" s="38"/>
    </row>
    <row r="55" spans="1:6" x14ac:dyDescent="0.35">
      <c r="A55" s="23"/>
      <c r="B55" s="36"/>
      <c r="C55" s="36"/>
      <c r="D55" s="17"/>
      <c r="E55" s="17"/>
      <c r="F55" s="17"/>
    </row>
    <row r="56" spans="1:6" x14ac:dyDescent="0.35">
      <c r="A56" s="37"/>
      <c r="B56" s="40"/>
      <c r="C56" s="40"/>
      <c r="D56" s="38"/>
      <c r="E56" s="38"/>
      <c r="F56" s="38"/>
    </row>
    <row r="57" spans="1:6" x14ac:dyDescent="0.35">
      <c r="A57" s="23"/>
      <c r="B57" s="36"/>
      <c r="C57" s="36"/>
      <c r="D57" s="17"/>
      <c r="E57" s="17"/>
      <c r="F57" s="17"/>
    </row>
    <row r="58" spans="1:6" x14ac:dyDescent="0.35">
      <c r="A58" s="37"/>
      <c r="B58" s="40"/>
      <c r="C58" s="40"/>
      <c r="D58" s="38"/>
      <c r="E58" s="38"/>
      <c r="F58" s="38"/>
    </row>
    <row r="59" spans="1:6" x14ac:dyDescent="0.35">
      <c r="A59" s="23"/>
      <c r="B59" s="36"/>
      <c r="C59" s="36"/>
      <c r="D59" s="17"/>
      <c r="E59" s="17"/>
      <c r="F59" s="17"/>
    </row>
    <row r="60" spans="1:6" x14ac:dyDescent="0.35">
      <c r="A60" s="37"/>
      <c r="B60" s="40"/>
      <c r="C60" s="40"/>
      <c r="D60" s="38"/>
      <c r="E60" s="38"/>
      <c r="F60" s="38"/>
    </row>
    <row r="61" spans="1:6" x14ac:dyDescent="0.35">
      <c r="A61" s="23"/>
      <c r="B61" s="36"/>
      <c r="C61" s="36"/>
      <c r="D61" s="17"/>
      <c r="E61" s="17"/>
      <c r="F61" s="17"/>
    </row>
    <row r="62" spans="1:6" x14ac:dyDescent="0.35">
      <c r="A62" s="37"/>
      <c r="B62" s="40"/>
      <c r="C62" s="40"/>
      <c r="D62" s="38"/>
      <c r="E62" s="38"/>
      <c r="F62" s="38"/>
    </row>
  </sheetData>
  <mergeCells count="2">
    <mergeCell ref="A1:F1"/>
    <mergeCell ref="A2:F2"/>
  </mergeCells>
  <dataValidations count="1">
    <dataValidation type="list" allowBlank="1" sqref="D13:D62" xr:uid="{00000000-0002-0000-0800-000000000000}">
      <formula1>"Dry,Steam,Infrared"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Daily Analysis</vt:lpstr>
      <vt:lpstr>Gym</vt:lpstr>
      <vt:lpstr>Workout</vt:lpstr>
      <vt:lpstr>Run</vt:lpstr>
      <vt:lpstr>Walk</vt:lpstr>
      <vt:lpstr>Swim</vt:lpstr>
      <vt:lpstr>Cycle</vt:lpstr>
      <vt:lpstr>Tennis</vt:lpstr>
      <vt:lpstr>Sauna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sai krishna</cp:lastModifiedBy>
  <cp:revision>1</cp:revision>
  <dcterms:created xsi:type="dcterms:W3CDTF">2026-06-13T06:31:53Z</dcterms:created>
  <dcterms:modified xsi:type="dcterms:W3CDTF">2026-07-02T01:40:41Z</dcterms:modified>
  <dc:language>en-US</dc:language>
</cp:coreProperties>
</file>